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set\DATATACTICO\"/>
    </mc:Choice>
  </mc:AlternateContent>
  <xr:revisionPtr revIDLastSave="0" documentId="8_{F9587AEA-6E39-4657-8486-AA07121F3AF2}" xr6:coauthVersionLast="47" xr6:coauthVersionMax="47" xr10:uidLastSave="{00000000-0000-0000-0000-000000000000}"/>
  <bookViews>
    <workbookView xWindow="-120" yWindow="-120" windowWidth="20730" windowHeight="11160" xr2:uid="{5FB9A1AE-1FD9-4143-9BAF-10A7656819A1}"/>
  </bookViews>
  <sheets>
    <sheet name="Sheet1" sheetId="1" r:id="rId1"/>
    <sheet name="Sheet7" sheetId="9" r:id="rId2"/>
    <sheet name="Sheet2" sheetId="4" r:id="rId3"/>
  </sheets>
  <calcPr calcId="181029"/>
  <pivotCaches>
    <pivotCache cacheId="33" r:id="rId4"/>
    <pivotCache cacheId="36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6" i="1" l="1"/>
  <c r="Q27" i="1"/>
  <c r="Q28" i="1"/>
  <c r="Q29" i="1"/>
  <c r="Q30" i="1"/>
  <c r="Q31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" i="1"/>
  <c r="C36" i="4"/>
  <c r="U36" i="4" s="1"/>
  <c r="C35" i="4"/>
  <c r="U35" i="4" s="1"/>
  <c r="U34" i="4"/>
  <c r="C34" i="4"/>
  <c r="U33" i="4"/>
  <c r="C33" i="4"/>
  <c r="U32" i="4"/>
  <c r="C32" i="4"/>
  <c r="U31" i="4"/>
  <c r="C31" i="4"/>
  <c r="U30" i="4"/>
  <c r="C30" i="4"/>
  <c r="U29" i="4"/>
  <c r="C29" i="4"/>
  <c r="U28" i="4"/>
  <c r="C28" i="4"/>
  <c r="U27" i="4"/>
  <c r="C27" i="4"/>
  <c r="U26" i="4"/>
  <c r="C26" i="4"/>
  <c r="U25" i="4"/>
  <c r="C25" i="4"/>
  <c r="U24" i="4"/>
  <c r="C24" i="4"/>
  <c r="U23" i="4"/>
  <c r="C23" i="4"/>
  <c r="U22" i="4"/>
  <c r="C22" i="4"/>
  <c r="U21" i="4"/>
  <c r="C21" i="4"/>
  <c r="U20" i="4"/>
  <c r="C20" i="4"/>
  <c r="U19" i="4"/>
  <c r="C19" i="4"/>
  <c r="U18" i="4"/>
  <c r="C18" i="4"/>
  <c r="U17" i="4"/>
  <c r="C17" i="4"/>
  <c r="U16" i="4"/>
  <c r="C16" i="4"/>
  <c r="U15" i="4"/>
  <c r="C15" i="4"/>
  <c r="U14" i="4"/>
  <c r="C14" i="4"/>
  <c r="U13" i="4"/>
  <c r="C13" i="4"/>
  <c r="U12" i="4"/>
  <c r="C12" i="4"/>
  <c r="U11" i="4"/>
  <c r="C11" i="4"/>
  <c r="U10" i="4"/>
  <c r="C10" i="4"/>
  <c r="U9" i="4"/>
  <c r="C9" i="4"/>
  <c r="U8" i="4"/>
  <c r="C8" i="4"/>
  <c r="U7" i="4"/>
  <c r="C7" i="4"/>
  <c r="U6" i="4"/>
  <c r="C6" i="4"/>
  <c r="C5" i="4"/>
  <c r="U5" i="4" s="1"/>
  <c r="U4" i="4"/>
  <c r="C4" i="4"/>
  <c r="U3" i="4"/>
  <c r="C3" i="4"/>
  <c r="U2" i="4"/>
  <c r="C2" i="4"/>
</calcChain>
</file>

<file path=xl/sharedStrings.xml><?xml version="1.0" encoding="utf-8"?>
<sst xmlns="http://schemas.openxmlformats.org/spreadsheetml/2006/main" count="682" uniqueCount="263">
  <si>
    <t>Name</t>
  </si>
  <si>
    <t>Age</t>
  </si>
  <si>
    <t>POT</t>
  </si>
  <si>
    <t>Team &amp; Contract</t>
  </si>
  <si>
    <t>ID</t>
  </si>
  <si>
    <t>Height</t>
  </si>
  <si>
    <t>foot</t>
  </si>
  <si>
    <t>BOV</t>
  </si>
  <si>
    <t>BP</t>
  </si>
  <si>
    <t>Growth</t>
  </si>
  <si>
    <t>Joined</t>
  </si>
  <si>
    <t>Loan Date End</t>
  </si>
  <si>
    <t>Value</t>
  </si>
  <si>
    <t>Wage</t>
  </si>
  <si>
    <t>L. Messi</t>
  </si>
  <si>
    <t>5'7"</t>
  </si>
  <si>
    <t>Left</t>
  </si>
  <si>
    <t>RW</t>
  </si>
  <si>
    <t>N/A</t>
  </si>
  <si>
    <t>Cristiano Ronaldo</t>
  </si>
  <si>
    <t>6'2"</t>
  </si>
  <si>
    <t>Right</t>
  </si>
  <si>
    <t>ST</t>
  </si>
  <si>
    <t>J. Oblak</t>
  </si>
  <si>
    <t>GK</t>
  </si>
  <si>
    <t>K. De Bruyne</t>
  </si>
  <si>
    <t>5'11"</t>
  </si>
  <si>
    <t>CAM</t>
  </si>
  <si>
    <t>Neymar Jr</t>
  </si>
  <si>
    <t>5'9"</t>
  </si>
  <si>
    <t>LW</t>
  </si>
  <si>
    <t>R. Lewandowski</t>
  </si>
  <si>
    <t>6'0"</t>
  </si>
  <si>
    <t>K. MbappÃ©</t>
  </si>
  <si>
    <t>5'10"</t>
  </si>
  <si>
    <t>Alisson</t>
  </si>
  <si>
    <t>6'3"</t>
  </si>
  <si>
    <t>M. Salah</t>
  </si>
  <si>
    <t>S. ManÃ©</t>
  </si>
  <si>
    <t>V. van Dijk</t>
  </si>
  <si>
    <t>6'4"</t>
  </si>
  <si>
    <t>CB</t>
  </si>
  <si>
    <t>M. ter Stegen</t>
  </si>
  <si>
    <t>Casemiro</t>
  </si>
  <si>
    <t>6'1"</t>
  </si>
  <si>
    <t>CDM</t>
  </si>
  <si>
    <t>T. Courtois</t>
  </si>
  <si>
    <t>6'6"</t>
  </si>
  <si>
    <t>M. Neuer</t>
  </si>
  <si>
    <t>K. Benzema</t>
  </si>
  <si>
    <t>CF</t>
  </si>
  <si>
    <t>Sergio Ramos</t>
  </si>
  <si>
    <t>S. AgÃ¼ero</t>
  </si>
  <si>
    <t>5'8"</t>
  </si>
  <si>
    <t>N. KantÃ©</t>
  </si>
  <si>
    <t>5'6"</t>
  </si>
  <si>
    <t>J. Kimmich</t>
  </si>
  <si>
    <t xml:space="preserve">_x000D_
_x000D_
_x000D_
_x000D_
FC Barcelona_x000D_
2004 ~ 2021_x000D_
_x000D_
</t>
  </si>
  <si>
    <t xml:space="preserve">_x000D_
_x000D_
_x000D_
_x000D_
Juventus_x000D_
2018 ~ 2022_x000D_
_x000D_
</t>
  </si>
  <si>
    <t xml:space="preserve">_x000D_
_x000D_
_x000D_
_x000D_
AtlÃ©tico Madrid_x000D_
2014 ~ 2023_x000D_
_x000D_
</t>
  </si>
  <si>
    <t xml:space="preserve">_x000D_
_x000D_
_x000D_
_x000D_
Manchester City_x000D_
2015 ~ 2023_x000D_
_x000D_
</t>
  </si>
  <si>
    <t xml:space="preserve">_x000D_
_x000D_
_x000D_
_x000D_
Paris Saint-Germain_x000D_
2017 ~ 2022_x000D_
_x000D_
</t>
  </si>
  <si>
    <t xml:space="preserve">_x000D_
_x000D_
_x000D_
_x000D_
FC Bayern MÃ¼nchen_x000D_
2014 ~ 2023_x000D_
_x000D_
</t>
  </si>
  <si>
    <t xml:space="preserve">_x000D_
_x000D_
_x000D_
_x000D_
Paris Saint-Germain_x000D_
2018 ~ 2022_x000D_
_x000D_
</t>
  </si>
  <si>
    <t xml:space="preserve">_x000D_
_x000D_
_x000D_
_x000D_
Liverpool_x000D_
2018 ~ 2024_x000D_
_x000D_
</t>
  </si>
  <si>
    <t xml:space="preserve">_x000D_
_x000D_
_x000D_
_x000D_
Liverpool_x000D_
2017 ~ 2023_x000D_
_x000D_
</t>
  </si>
  <si>
    <t xml:space="preserve">_x000D_
_x000D_
_x000D_
_x000D_
Liverpool_x000D_
2016 ~ 2023_x000D_
_x000D_
</t>
  </si>
  <si>
    <t xml:space="preserve">_x000D_
_x000D_
_x000D_
_x000D_
Liverpool_x000D_
2018 ~ 2023_x000D_
_x000D_
</t>
  </si>
  <si>
    <t xml:space="preserve">_x000D_
_x000D_
_x000D_
_x000D_
FC Barcelona_x000D_
2014 ~ 2022_x000D_
_x000D_
</t>
  </si>
  <si>
    <t xml:space="preserve">_x000D_
_x000D_
_x000D_
_x000D_
Real Madrid_x000D_
2013 ~ 2023_x000D_
_x000D_
</t>
  </si>
  <si>
    <t xml:space="preserve">_x000D_
_x000D_
_x000D_
_x000D_
Real Madrid_x000D_
2018 ~ 2024_x000D_
_x000D_
</t>
  </si>
  <si>
    <t xml:space="preserve">_x000D_
_x000D_
_x000D_
_x000D_
FC Bayern MÃ¼nchen_x000D_
2011 ~ 2023_x000D_
_x000D_
</t>
  </si>
  <si>
    <t xml:space="preserve">_x000D_
_x000D_
_x000D_
_x000D_
Real Madrid_x000D_
2009 ~ 2022_x000D_
_x000D_
</t>
  </si>
  <si>
    <t xml:space="preserve">_x000D_
_x000D_
_x000D_
_x000D_
Real Madrid_x000D_
2005 ~ 2021_x000D_
_x000D_
</t>
  </si>
  <si>
    <t xml:space="preserve">_x000D_
_x000D_
_x000D_
_x000D_
Manchester City_x000D_
2011 ~ 2021_x000D_
_x000D_
</t>
  </si>
  <si>
    <t xml:space="preserve">_x000D_
_x000D_
_x000D_
_x000D_
Chelsea_x000D_
2016 ~ 2023_x000D_
_x000D_
</t>
  </si>
  <si>
    <t xml:space="preserve">_x000D_
_x000D_
_x000D_
_x000D_
FC Bayern MÃ¼nchen_x000D_
2015 ~ 2023_x000D_
_x000D_
</t>
  </si>
  <si>
    <t>Overall</t>
  </si>
  <si>
    <t>67.5M</t>
  </si>
  <si>
    <t>46M</t>
  </si>
  <si>
    <t>75M</t>
  </si>
  <si>
    <t>87M</t>
  </si>
  <si>
    <t>90M</t>
  </si>
  <si>
    <t>80M</t>
  </si>
  <si>
    <t>105.5M</t>
  </si>
  <si>
    <t>62.5M</t>
  </si>
  <si>
    <t>78M</t>
  </si>
  <si>
    <t>75.5M</t>
  </si>
  <si>
    <t>69.5M</t>
  </si>
  <si>
    <t>59.5M</t>
  </si>
  <si>
    <t>56M</t>
  </si>
  <si>
    <t>29M</t>
  </si>
  <si>
    <t>53M</t>
  </si>
  <si>
    <t>24.5M</t>
  </si>
  <si>
    <t>51M</t>
  </si>
  <si>
    <t>65M</t>
  </si>
  <si>
    <t>560K</t>
  </si>
  <si>
    <t>220K</t>
  </si>
  <si>
    <t>125K</t>
  </si>
  <si>
    <t>370K</t>
  </si>
  <si>
    <t>270K</t>
  </si>
  <si>
    <t>240K</t>
  </si>
  <si>
    <t>160K</t>
  </si>
  <si>
    <t>250K</t>
  </si>
  <si>
    <t>210K</t>
  </si>
  <si>
    <t>260K</t>
  </si>
  <si>
    <t>310K</t>
  </si>
  <si>
    <t>350K</t>
  </si>
  <si>
    <t>300K</t>
  </si>
  <si>
    <t>190K</t>
  </si>
  <si>
    <t>145K</t>
  </si>
  <si>
    <t>Weight kg</t>
  </si>
  <si>
    <t>P. Dybala</t>
  </si>
  <si>
    <t>Ederson</t>
  </si>
  <si>
    <t>R. Sterling</t>
  </si>
  <si>
    <t>H. Kane</t>
  </si>
  <si>
    <t>K. Koulibaly</t>
  </si>
  <si>
    <t xml:space="preserve">_x000D_
_x000D_
_x000D_
_x000D_
Juventus_x000D_
2015 ~ 2022_x000D_
_x000D_
</t>
  </si>
  <si>
    <t xml:space="preserve">_x000D_
_x000D_
_x000D_
_x000D_
Manchester City_x000D_
2017 ~ 2024_x000D_
_x000D_
</t>
  </si>
  <si>
    <t xml:space="preserve">_x000D_
_x000D_
_x000D_
_x000D_
Tottenham Hotspur_x000D_
2010 ~ 2024_x000D_
_x000D_
</t>
  </si>
  <si>
    <t xml:space="preserve">_x000D_
_x000D_
_x000D_
_x000D_
Napoli_x000D_
2014 ~ 2023_x000D_
_x000D_
</t>
  </si>
  <si>
    <t>71M</t>
  </si>
  <si>
    <t>53.5M</t>
  </si>
  <si>
    <t>72.5M</t>
  </si>
  <si>
    <t>50M</t>
  </si>
  <si>
    <t>195K</t>
  </si>
  <si>
    <t>140K</t>
  </si>
  <si>
    <t xml:space="preserve">Weight </t>
  </si>
  <si>
    <t>Row ID</t>
  </si>
  <si>
    <t>Order ID</t>
  </si>
  <si>
    <t>Order Date</t>
  </si>
  <si>
    <t>Order Priority</t>
  </si>
  <si>
    <t>Order Quantity</t>
  </si>
  <si>
    <t>Sales</t>
  </si>
  <si>
    <t>Discount</t>
  </si>
  <si>
    <t>Ship Mode</t>
  </si>
  <si>
    <t>Profit</t>
  </si>
  <si>
    <t>Unit Price</t>
  </si>
  <si>
    <t>Shipping Cost</t>
  </si>
  <si>
    <t>Customer Name</t>
  </si>
  <si>
    <t>Province</t>
  </si>
  <si>
    <t>Region</t>
  </si>
  <si>
    <t>Customer Segment</t>
  </si>
  <si>
    <t>Product Category</t>
  </si>
  <si>
    <t>Product Sub-Category</t>
  </si>
  <si>
    <t>Product Name</t>
  </si>
  <si>
    <t>Product Container</t>
  </si>
  <si>
    <t>Product Base Margin</t>
  </si>
  <si>
    <t>Ship Date</t>
  </si>
  <si>
    <t>Low</t>
  </si>
  <si>
    <t>Regular Air</t>
  </si>
  <si>
    <t>Muhammed MacIntyre</t>
  </si>
  <si>
    <t>Nunavut</t>
  </si>
  <si>
    <t>Small Business</t>
  </si>
  <si>
    <t>Office Supplies</t>
  </si>
  <si>
    <t>Storage &amp; Organization</t>
  </si>
  <si>
    <t>Eldon Base for stackable storage shelf, platinum</t>
  </si>
  <si>
    <t>Large Box</t>
  </si>
  <si>
    <t>High</t>
  </si>
  <si>
    <t>Delivery Truck</t>
  </si>
  <si>
    <t>Barry French</t>
  </si>
  <si>
    <t>Consumer</t>
  </si>
  <si>
    <t>Appliances</t>
  </si>
  <si>
    <t>1.7 Cubic Foot Compact "Cube" Office Refrigerators</t>
  </si>
  <si>
    <t>Jumbo Drum</t>
  </si>
  <si>
    <t>Binders and Binder Accessories</t>
  </si>
  <si>
    <t>Cardinal Slant-D® Ring Binder, Heavy Gauge Vinyl</t>
  </si>
  <si>
    <t>Small Box</t>
  </si>
  <si>
    <t>Clay Rozendal</t>
  </si>
  <si>
    <t>Corporate</t>
  </si>
  <si>
    <t>Technology</t>
  </si>
  <si>
    <t>Telephones and Communication</t>
  </si>
  <si>
    <t>R380</t>
  </si>
  <si>
    <t>Not Specified</t>
  </si>
  <si>
    <t>Carlos Soltero</t>
  </si>
  <si>
    <t>Holmes HEPA Air Purifier</t>
  </si>
  <si>
    <t>Medium Box</t>
  </si>
  <si>
    <t>Furniture</t>
  </si>
  <si>
    <t>Office Furnishings</t>
  </si>
  <si>
    <t>G.E. Longer-Life Indoor Recessed Floodlight Bulbs</t>
  </si>
  <si>
    <t>Small Pack</t>
  </si>
  <si>
    <t>Carl Jackson</t>
  </si>
  <si>
    <t>Angle-D Binders with Locking Rings, Label Holders</t>
  </si>
  <si>
    <t>SAFCO Mobile Desk Side File, Wire Frame</t>
  </si>
  <si>
    <t>Express Air</t>
  </si>
  <si>
    <t>Monica Federle</t>
  </si>
  <si>
    <t>SAFCO Commercial Wire Shelving, Black</t>
  </si>
  <si>
    <t>Dorothy Badders</t>
  </si>
  <si>
    <t>Home Office</t>
  </si>
  <si>
    <t>Paper</t>
  </si>
  <si>
    <t>Xerox 198</t>
  </si>
  <si>
    <t>Medium</t>
  </si>
  <si>
    <t>Neola Schneider</t>
  </si>
  <si>
    <t>Xerox 1980</t>
  </si>
  <si>
    <t>Rubber Bands</t>
  </si>
  <si>
    <t>Advantus Map Pennant Flags and Round Head Tacks</t>
  </si>
  <si>
    <t>Wrap Bag</t>
  </si>
  <si>
    <t>Carlos Daly</t>
  </si>
  <si>
    <t>Computer Peripherals</t>
  </si>
  <si>
    <t>DS/HD IBM Formatted Diskettes, 200/Pack - Staples</t>
  </si>
  <si>
    <t>Claudia Miner</t>
  </si>
  <si>
    <t>Wilson Jones 1" Hanging DublLock® Ring Binders</t>
  </si>
  <si>
    <t>Ultra Commercial Grade Dual Valve Door Closer</t>
  </si>
  <si>
    <t>Allen Rosenblatt</t>
  </si>
  <si>
    <t>Envelopes</t>
  </si>
  <si>
    <t>#10-4 1/8" x 9 1/2" Premium Diagonal Seam Envelopes</t>
  </si>
  <si>
    <t>Critical</t>
  </si>
  <si>
    <t>Sylvia Foulston</t>
  </si>
  <si>
    <t>Bookcases</t>
  </si>
  <si>
    <t>Hon 4-Shelf Metal Bookcases</t>
  </si>
  <si>
    <t>Jumbo Box</t>
  </si>
  <si>
    <t>Tables</t>
  </si>
  <si>
    <t>Lesro Sheffield Collection Coffee Table, End Table, Center Table, Corner Table</t>
  </si>
  <si>
    <t>Jim Radford</t>
  </si>
  <si>
    <t>g520</t>
  </si>
  <si>
    <t>LX 788</t>
  </si>
  <si>
    <t>Labels</t>
  </si>
  <si>
    <t>Avery 52</t>
  </si>
  <si>
    <t>Plymouth Boxed Rubber Bands by Plymouth</t>
  </si>
  <si>
    <t>Carl Ludwig</t>
  </si>
  <si>
    <t>GBC Pre-Punched Binding Paper, Plastic, White, 8-1/2" x 11"</t>
  </si>
  <si>
    <t>Maxell 3.5" DS/HD IBM-Formatted Diskettes, 10/Pack</t>
  </si>
  <si>
    <t>Don Miller</t>
  </si>
  <si>
    <t>Pens &amp; Art Supplies</t>
  </si>
  <si>
    <t>Newell 335</t>
  </si>
  <si>
    <t>Annie Cyprus</t>
  </si>
  <si>
    <t>SANFORD Liquid Accent™ Tank-Style Highlighters</t>
  </si>
  <si>
    <t>Copiers and Fax</t>
  </si>
  <si>
    <t>Canon PC940 Copier</t>
  </si>
  <si>
    <t>Tenex Personal Project File with Scoop Front Design, Black</t>
  </si>
  <si>
    <t>Grant Carroll</t>
  </si>
  <si>
    <t>Col-Erase® Pencils with Erasers</t>
  </si>
  <si>
    <t>Imation 3.5" DS/HD IBM Formatted Diskettes, 10/Pack</t>
  </si>
  <si>
    <t>White Dual Perf Computer Printout Paper, 2700 Sheets, 1 Part, Heavyweight, 20 lbs., 14 7/8 x 11</t>
  </si>
  <si>
    <t>Alan Barnes</t>
  </si>
  <si>
    <t>Self-Adhesive Address Labels for Typewriters by Universal</t>
  </si>
  <si>
    <t>Accessory37</t>
  </si>
  <si>
    <t>Jack Garza</t>
  </si>
  <si>
    <t>Fuji 5.2GB DVD-RAM</t>
  </si>
  <si>
    <t>Sum of Sales</t>
  </si>
  <si>
    <t>Row Labels</t>
  </si>
  <si>
    <t>Grand Total</t>
  </si>
  <si>
    <t>Sum of Profit</t>
  </si>
  <si>
    <t>Edibles</t>
  </si>
  <si>
    <t>E. Hazard</t>
  </si>
  <si>
    <t>T. Kroos</t>
  </si>
  <si>
    <t>CM</t>
  </si>
  <si>
    <t>S. HandanoviÄ</t>
  </si>
  <si>
    <t>J. Sancho</t>
  </si>
  <si>
    <t>T. Alexander-Arnold</t>
  </si>
  <si>
    <t>RB</t>
  </si>
  <si>
    <t xml:space="preserve">_x000D_
_x000D_
_x000D_
_x000D_
Real Madrid_x000D_
2019 ~ 2024_x000D_
_x000D_
</t>
  </si>
  <si>
    <t xml:space="preserve">_x000D_
_x000D_
_x000D_
_x000D_
Real Madrid_x000D_
2014 ~ 2023_x000D_
_x000D_
</t>
  </si>
  <si>
    <t xml:space="preserve">_x000D_
_x000D_
_x000D_
_x000D_
Inter_x000D_
2012 ~ 2021_x000D_
_x000D_
</t>
  </si>
  <si>
    <t xml:space="preserve">_x000D_
_x000D_
_x000D_
_x000D_
Borussia Dortmund_x000D_
2017 ~ 2023_x000D_
_x000D_
</t>
  </si>
  <si>
    <t xml:space="preserve">_x000D_
_x000D_
_x000D_
_x000D_
Liverpool_x000D_
2015 ~ 2024_x000D_
_x000D_
</t>
  </si>
  <si>
    <t>58M</t>
  </si>
  <si>
    <t>55M</t>
  </si>
  <si>
    <t>16M</t>
  </si>
  <si>
    <t>60M</t>
  </si>
  <si>
    <t>100K</t>
  </si>
  <si>
    <t>82K</t>
  </si>
  <si>
    <t>110K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</si>
</sst>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5" formatCode="m/d/yyyy;@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Book Antiqua"/>
      <family val="1"/>
    </font>
    <font>
      <sz val="10"/>
      <color theme="1"/>
      <name val="Book Antiqua"/>
      <family val="1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wrapText="1"/>
    </xf>
    <xf numFmtId="165" fontId="0" fillId="0" borderId="0" xfId="0" applyNumberFormat="1"/>
    <xf numFmtId="2" fontId="0" fillId="0" borderId="0" xfId="0" applyNumberFormat="1"/>
    <xf numFmtId="1" fontId="0" fillId="0" borderId="0" xfId="0" applyNumberFormat="1"/>
    <xf numFmtId="49" fontId="2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2" fontId="2" fillId="2" borderId="1" xfId="0" applyNumberFormat="1" applyFont="1" applyFill="1" applyBorder="1" applyAlignment="1">
      <alignment horizontal="center" vertical="center"/>
    </xf>
    <xf numFmtId="0" fontId="2" fillId="2" borderId="1" xfId="1" applyNumberFormat="1" applyFont="1" applyFill="1" applyBorder="1" applyAlignment="1">
      <alignment horizontal="center" vertical="center"/>
    </xf>
    <xf numFmtId="0" fontId="3" fillId="0" borderId="1" xfId="0" applyFont="1" applyBorder="1"/>
    <xf numFmtId="14" fontId="3" fillId="0" borderId="1" xfId="1" applyNumberFormat="1" applyFont="1" applyFill="1" applyBorder="1"/>
    <xf numFmtId="2" fontId="3" fillId="0" borderId="1" xfId="0" applyNumberFormat="1" applyFont="1" applyBorder="1"/>
    <xf numFmtId="0" fontId="3" fillId="0" borderId="1" xfId="1" applyNumberFormat="1" applyFont="1" applyFill="1" applyBorder="1"/>
    <xf numFmtId="14" fontId="3" fillId="0" borderId="1" xfId="0" applyNumberFormat="1" applyFont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790.810978703703" createdVersion="8" refreshedVersion="8" minRefreshableVersion="3" recordCount="35" xr:uid="{0E72B964-FDE9-4740-8B03-49C2E94F8002}">
  <cacheSource type="worksheet">
    <worksheetSource ref="A1:U36" sheet="Sheet2"/>
  </cacheSource>
  <cacheFields count="21">
    <cacheField name="Row ID" numFmtId="0">
      <sharedItems containsSemiMixedTypes="0" containsString="0" containsNumber="1" containsInteger="1" minValue="1" maxValue="381"/>
    </cacheField>
    <cacheField name="Order ID" numFmtId="0">
      <sharedItems containsSemiMixedTypes="0" containsString="0" containsNumber="1" containsInteger="1" minValue="3" maxValue="2631"/>
    </cacheField>
    <cacheField name="Order Date" numFmtId="14">
      <sharedItems containsSemiMixedTypes="0" containsNonDate="0" containsDate="1" containsString="0" minDate="2009-11-25T00:00:00" maxDate="2012-10-22T00:00:00"/>
    </cacheField>
    <cacheField name="Order Priority" numFmtId="0">
      <sharedItems/>
    </cacheField>
    <cacheField name="Order Quantity" numFmtId="0">
      <sharedItems containsSemiMixedTypes="0" containsString="0" containsNumber="1" containsInteger="1" minValue="6" maxValue="49"/>
    </cacheField>
    <cacheField name="Sales" numFmtId="0">
      <sharedItems containsSemiMixedTypes="0" containsString="0" containsNumber="1" minValue="59.03" maxValue="12028.23"/>
    </cacheField>
    <cacheField name="Discount" numFmtId="0">
      <sharedItems containsSemiMixedTypes="0" containsString="0" containsNumber="1" minValue="0" maxValue="0.25"/>
    </cacheField>
    <cacheField name="Ship Mode" numFmtId="0">
      <sharedItems/>
    </cacheField>
    <cacheField name="Profit" numFmtId="2">
      <sharedItems containsSemiMixedTypes="0" containsString="0" containsNumber="1" minValue="-695.26" maxValue="1198.971"/>
    </cacheField>
    <cacheField name="Unit Price" numFmtId="0">
      <sharedItems containsSemiMixedTypes="0" containsString="0" containsNumber="1" minValue="2.84" maxValue="449.99"/>
    </cacheField>
    <cacheField name="Shipping Cost" numFmtId="0">
      <sharedItems containsSemiMixedTypes="0" containsString="0" containsNumber="1" minValue="0.49" maxValue="69"/>
    </cacheField>
    <cacheField name="Customer Name" numFmtId="0">
      <sharedItems/>
    </cacheField>
    <cacheField name="Province" numFmtId="0">
      <sharedItems/>
    </cacheField>
    <cacheField name="Region" numFmtId="0">
      <sharedItems/>
    </cacheField>
    <cacheField name="Customer Segment" numFmtId="0">
      <sharedItems count="4">
        <s v="Small Business"/>
        <s v="Consumer"/>
        <s v="Corporate"/>
        <s v="Home Office"/>
      </sharedItems>
    </cacheField>
    <cacheField name="Product Category" numFmtId="0">
      <sharedItems count="3">
        <s v="Office Supplies"/>
        <s v="Technology"/>
        <s v="Furniture"/>
      </sharedItems>
    </cacheField>
    <cacheField name="Product Sub-Category" numFmtId="0">
      <sharedItems/>
    </cacheField>
    <cacheField name="Product Name" numFmtId="0">
      <sharedItems/>
    </cacheField>
    <cacheField name="Product Container" numFmtId="0">
      <sharedItems/>
    </cacheField>
    <cacheField name="Product Base Margin" numFmtId="0">
      <sharedItems containsSemiMixedTypes="0" containsString="0" containsNumber="1" minValue="0.36" maxValue="0.81"/>
    </cacheField>
    <cacheField name="Ship Date" numFmtId="14">
      <sharedItems containsSemiMixedTypes="0" containsNonDate="0" containsDate="1" containsString="0" minDate="2009-11-26T00:00:00" maxDate="2012-10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790.811386111112" createdVersion="8" refreshedVersion="8" minRefreshableVersion="3" recordCount="39" xr:uid="{2631B74B-00D9-40DF-A13F-C4058CEDD995}">
  <cacheSource type="worksheet">
    <worksheetSource ref="A1:U40" sheet="Sheet2"/>
  </cacheSource>
  <cacheFields count="21">
    <cacheField name="Row ID" numFmtId="0">
      <sharedItems containsSemiMixedTypes="0" containsString="0" containsNumber="1" containsInteger="1" minValue="1" maxValue="381"/>
    </cacheField>
    <cacheField name="Order ID" numFmtId="0">
      <sharedItems containsSemiMixedTypes="0" containsString="0" containsNumber="1" containsInteger="1" minValue="3" maxValue="2631"/>
    </cacheField>
    <cacheField name="Order Date" numFmtId="14">
      <sharedItems containsSemiMixedTypes="0" containsNonDate="0" containsDate="1" containsString="0" minDate="2009-11-25T00:00:00" maxDate="2012-10-22T00:00:00"/>
    </cacheField>
    <cacheField name="Order Priority" numFmtId="0">
      <sharedItems/>
    </cacheField>
    <cacheField name="Order Quantity" numFmtId="0">
      <sharedItems containsSemiMixedTypes="0" containsString="0" containsNumber="1" containsInteger="1" minValue="6" maxValue="49"/>
    </cacheField>
    <cacheField name="Sales" numFmtId="0">
      <sharedItems containsSemiMixedTypes="0" containsString="0" containsNumber="1" minValue="59.03" maxValue="12028.23"/>
    </cacheField>
    <cacheField name="Discount" numFmtId="0">
      <sharedItems containsSemiMixedTypes="0" containsString="0" containsNumber="1" minValue="0" maxValue="0.25"/>
    </cacheField>
    <cacheField name="Ship Mode" numFmtId="0">
      <sharedItems/>
    </cacheField>
    <cacheField name="Profit" numFmtId="2">
      <sharedItems containsSemiMixedTypes="0" containsString="0" containsNumber="1" minValue="-695.26" maxValue="1198.971"/>
    </cacheField>
    <cacheField name="Unit Price" numFmtId="0">
      <sharedItems containsSemiMixedTypes="0" containsString="0" containsNumber="1" minValue="2.84" maxValue="449.99"/>
    </cacheField>
    <cacheField name="Shipping Cost" numFmtId="0">
      <sharedItems containsSemiMixedTypes="0" containsString="0" containsNumber="1" minValue="0.49" maxValue="69"/>
    </cacheField>
    <cacheField name="Customer Name" numFmtId="0">
      <sharedItems/>
    </cacheField>
    <cacheField name="Province" numFmtId="0">
      <sharedItems/>
    </cacheField>
    <cacheField name="Region" numFmtId="0">
      <sharedItems/>
    </cacheField>
    <cacheField name="Customer Segment" numFmtId="0">
      <sharedItems/>
    </cacheField>
    <cacheField name="Product Category" numFmtId="0">
      <sharedItems count="4">
        <s v="Office Supplies"/>
        <s v="Technology"/>
        <s v="Furniture"/>
        <s v="Edibles"/>
      </sharedItems>
    </cacheField>
    <cacheField name="Product Sub-Category" numFmtId="0">
      <sharedItems/>
    </cacheField>
    <cacheField name="Product Name" numFmtId="0">
      <sharedItems/>
    </cacheField>
    <cacheField name="Product Container" numFmtId="0">
      <sharedItems/>
    </cacheField>
    <cacheField name="Product Base Margin" numFmtId="0">
      <sharedItems containsSemiMixedTypes="0" containsString="0" containsNumber="1" minValue="0.36" maxValue="0.81"/>
    </cacheField>
    <cacheField name="Ship Date" numFmtId="14">
      <sharedItems containsSemiMixedTypes="0" containsNonDate="0" containsDate="1" containsString="0" minDate="2009-11-26T00:00:00" maxDate="2012-10-23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n v="1"/>
    <n v="3"/>
    <d v="2010-10-13T00:00:00"/>
    <s v="Low"/>
    <n v="6"/>
    <n v="261.54000000000002"/>
    <n v="0.04"/>
    <s v="Regular Air"/>
    <n v="-213.25"/>
    <n v="38.94"/>
    <n v="35"/>
    <s v="Muhammed MacIntyre"/>
    <s v="Nunavut"/>
    <s v="Nunavut"/>
    <x v="0"/>
    <x v="0"/>
    <s v="Storage &amp; Organization"/>
    <s v="Eldon Base for stackable storage shelf, platinum"/>
    <s v="Large Box"/>
    <n v="0.8"/>
    <d v="2010-10-20T00:00:00"/>
  </r>
  <r>
    <n v="49"/>
    <n v="293"/>
    <d v="2012-10-01T00:00:00"/>
    <s v="High"/>
    <n v="49"/>
    <n v="10123.02"/>
    <n v="7.0000000000000007E-2"/>
    <s v="Delivery Truck"/>
    <n v="457.81"/>
    <n v="208.16"/>
    <n v="68.02"/>
    <s v="Barry French"/>
    <s v="Nunavut"/>
    <s v="Nunavut"/>
    <x v="1"/>
    <x v="0"/>
    <s v="Appliances"/>
    <s v="1.7 Cubic Foot Compact &quot;Cube&quot; Office Refrigerators"/>
    <s v="Jumbo Drum"/>
    <n v="0.57999999999999996"/>
    <d v="2012-10-02T00:00:00"/>
  </r>
  <r>
    <n v="50"/>
    <n v="293"/>
    <d v="2012-10-01T00:00:00"/>
    <s v="High"/>
    <n v="27"/>
    <n v="244.57"/>
    <n v="0.01"/>
    <s v="Regular Air"/>
    <n v="46.707500000000003"/>
    <n v="8.69"/>
    <n v="2.99"/>
    <s v="Barry French"/>
    <s v="Nunavut"/>
    <s v="Nunavut"/>
    <x v="1"/>
    <x v="0"/>
    <s v="Binders and Binder Accessories"/>
    <s v="Cardinal Slant-D® Ring Binder, Heavy Gauge Vinyl"/>
    <s v="Small Box"/>
    <n v="0.39"/>
    <d v="2012-10-03T00:00:00"/>
  </r>
  <r>
    <n v="80"/>
    <n v="483"/>
    <d v="2011-07-10T00:00:00"/>
    <s v="High"/>
    <n v="30"/>
    <n v="4965.7594999999992"/>
    <n v="0.08"/>
    <s v="Regular Air"/>
    <n v="1198.971"/>
    <n v="195.99"/>
    <n v="3.99"/>
    <s v="Clay Rozendal"/>
    <s v="Nunavut"/>
    <s v="Nunavut"/>
    <x v="2"/>
    <x v="1"/>
    <s v="Telephones and Communication"/>
    <s v="R380"/>
    <s v="Small Box"/>
    <n v="0.57999999999999996"/>
    <d v="2011-07-12T00:00:00"/>
  </r>
  <r>
    <n v="85"/>
    <n v="515"/>
    <d v="2010-08-28T00:00:00"/>
    <s v="Not Specified"/>
    <n v="19"/>
    <n v="394.27"/>
    <n v="0.08"/>
    <s v="Regular Air"/>
    <n v="30.94"/>
    <n v="21.78"/>
    <n v="5.94"/>
    <s v="Carlos Soltero"/>
    <s v="Nunavut"/>
    <s v="Nunavut"/>
    <x v="1"/>
    <x v="0"/>
    <s v="Appliances"/>
    <s v="Holmes HEPA Air Purifier"/>
    <s v="Medium Box"/>
    <n v="0.5"/>
    <d v="2010-08-30T00:00:00"/>
  </r>
  <r>
    <n v="86"/>
    <n v="515"/>
    <d v="2010-08-28T00:00:00"/>
    <s v="Not Specified"/>
    <n v="21"/>
    <n v="146.69"/>
    <n v="0.05"/>
    <s v="Regular Air"/>
    <n v="4.43"/>
    <n v="6.64"/>
    <n v="4.95"/>
    <s v="Carlos Soltero"/>
    <s v="Nunavut"/>
    <s v="Nunavut"/>
    <x v="1"/>
    <x v="2"/>
    <s v="Office Furnishings"/>
    <s v="G.E. Longer-Life Indoor Recessed Floodlight Bulbs"/>
    <s v="Small Pack"/>
    <n v="0.37"/>
    <d v="2010-08-30T00:00:00"/>
  </r>
  <r>
    <n v="97"/>
    <n v="613"/>
    <d v="2011-06-17T00:00:00"/>
    <s v="High"/>
    <n v="12"/>
    <n v="93.54"/>
    <n v="0.03"/>
    <s v="Regular Air"/>
    <n v="-54.038499999999999"/>
    <n v="7.3"/>
    <n v="7.72"/>
    <s v="Carl Jackson"/>
    <s v="Nunavut"/>
    <s v="Nunavut"/>
    <x v="2"/>
    <x v="0"/>
    <s v="Binders and Binder Accessories"/>
    <s v="Angle-D Binders with Locking Rings, Label Holders"/>
    <s v="Small Box"/>
    <n v="0.38"/>
    <d v="2011-06-17T00:00:00"/>
  </r>
  <r>
    <n v="98"/>
    <n v="613"/>
    <d v="2011-06-17T00:00:00"/>
    <s v="High"/>
    <n v="22"/>
    <n v="905.08"/>
    <n v="0.09"/>
    <s v="Regular Air"/>
    <n v="127.7"/>
    <n v="42.76"/>
    <n v="6.22"/>
    <s v="Carl Jackson"/>
    <s v="Nunavut"/>
    <s v="Nunavut"/>
    <x v="2"/>
    <x v="0"/>
    <s v="Storage &amp; Organization"/>
    <s v="SAFCO Mobile Desk Side File, Wire Frame"/>
    <s v="Small Box"/>
    <n v="0.43"/>
    <d v="2011-06-18T00:00:00"/>
  </r>
  <r>
    <n v="103"/>
    <n v="643"/>
    <d v="2011-03-24T00:00:00"/>
    <s v="High"/>
    <n v="21"/>
    <n v="2781.82"/>
    <n v="7.0000000000000007E-2"/>
    <s v="Express Air"/>
    <n v="-695.26"/>
    <n v="138.13999999999999"/>
    <n v="35"/>
    <s v="Monica Federle"/>
    <s v="Nunavut"/>
    <s v="Nunavut"/>
    <x v="2"/>
    <x v="0"/>
    <s v="Storage &amp; Organization"/>
    <s v="SAFCO Commercial Wire Shelving, Black"/>
    <s v="Large Box"/>
    <n v="0.54"/>
    <d v="2011-03-25T00:00:00"/>
  </r>
  <r>
    <n v="107"/>
    <n v="678"/>
    <d v="2010-02-26T00:00:00"/>
    <s v="Low"/>
    <n v="44"/>
    <n v="228.41"/>
    <n v="7.0000000000000007E-2"/>
    <s v="Regular Air"/>
    <n v="-226.36"/>
    <n v="4.9800000000000004"/>
    <n v="8.33"/>
    <s v="Dorothy Badders"/>
    <s v="Nunavut"/>
    <s v="Nunavut"/>
    <x v="3"/>
    <x v="0"/>
    <s v="Paper"/>
    <s v="Xerox 198"/>
    <s v="Small Box"/>
    <n v="0.38"/>
    <d v="2010-02-26T00:00:00"/>
  </r>
  <r>
    <n v="127"/>
    <n v="807"/>
    <d v="2010-11-23T00:00:00"/>
    <s v="Medium"/>
    <n v="45"/>
    <n v="196.85"/>
    <n v="0.01"/>
    <s v="Regular Air"/>
    <n v="-166.85"/>
    <n v="4.28"/>
    <n v="6.18"/>
    <s v="Neola Schneider"/>
    <s v="Nunavut"/>
    <s v="Nunavut"/>
    <x v="3"/>
    <x v="0"/>
    <s v="Paper"/>
    <s v="Xerox 1980"/>
    <s v="Small Box"/>
    <n v="0.4"/>
    <d v="2010-11-24T00:00:00"/>
  </r>
  <r>
    <n v="128"/>
    <n v="807"/>
    <d v="2010-11-23T00:00:00"/>
    <s v="Medium"/>
    <n v="32"/>
    <n v="124.56"/>
    <n v="0.04"/>
    <s v="Regular Air"/>
    <n v="-14.33"/>
    <n v="3.95"/>
    <n v="2"/>
    <s v="Neola Schneider"/>
    <s v="Nunavut"/>
    <s v="Nunavut"/>
    <x v="3"/>
    <x v="0"/>
    <s v="Rubber Bands"/>
    <s v="Advantus Map Pennant Flags and Round Head Tacks"/>
    <s v="Wrap Bag"/>
    <n v="0.53"/>
    <d v="2010-11-24T00:00:00"/>
  </r>
  <r>
    <n v="134"/>
    <n v="868"/>
    <d v="2012-06-08T00:00:00"/>
    <s v="Not Specified"/>
    <n v="32"/>
    <n v="716.84"/>
    <n v="0"/>
    <s v="Regular Air"/>
    <n v="134.72"/>
    <n v="21.78"/>
    <n v="5.94"/>
    <s v="Carlos Daly"/>
    <s v="Nunavut"/>
    <s v="Nunavut"/>
    <x v="3"/>
    <x v="0"/>
    <s v="Appliances"/>
    <s v="Holmes HEPA Air Purifier"/>
    <s v="Medium Box"/>
    <n v="0.5"/>
    <d v="2012-06-09T00:00:00"/>
  </r>
  <r>
    <n v="135"/>
    <n v="868"/>
    <d v="2012-06-08T00:00:00"/>
    <s v="Not Specified"/>
    <n v="31"/>
    <n v="1474.33"/>
    <n v="0.04"/>
    <s v="Regular Air"/>
    <n v="114.46"/>
    <n v="47.98"/>
    <n v="3.61"/>
    <s v="Carlos Daly"/>
    <s v="Nunavut"/>
    <s v="Nunavut"/>
    <x v="3"/>
    <x v="1"/>
    <s v="Computer Peripherals"/>
    <s v="DS/HD IBM Formatted Diskettes, 200/Pack - Staples"/>
    <s v="Small Pack"/>
    <n v="0.71"/>
    <d v="2012-06-10T00:00:00"/>
  </r>
  <r>
    <n v="149"/>
    <n v="933"/>
    <d v="2012-08-04T00:00:00"/>
    <s v="Not Specified"/>
    <n v="15"/>
    <n v="80.61"/>
    <n v="0.02"/>
    <s v="Regular Air"/>
    <n v="-4.7149999999999999"/>
    <n v="5.28"/>
    <n v="2.99"/>
    <s v="Claudia Miner"/>
    <s v="Nunavut"/>
    <s v="Nunavut"/>
    <x v="0"/>
    <x v="0"/>
    <s v="Binders and Binder Accessories"/>
    <s v="Wilson Jones 1&quot; Hanging DublLock® Ring Binders"/>
    <s v="Small Box"/>
    <n v="0.37"/>
    <d v="2012-08-04T00:00:00"/>
  </r>
  <r>
    <n v="160"/>
    <n v="995"/>
    <d v="2011-05-30T00:00:00"/>
    <s v="Medium"/>
    <n v="46"/>
    <n v="1815.49"/>
    <n v="0.03"/>
    <s v="Regular Air"/>
    <n v="782.91"/>
    <n v="39.89"/>
    <n v="3.04"/>
    <s v="Neola Schneider"/>
    <s v="Nunavut"/>
    <s v="Nunavut"/>
    <x v="3"/>
    <x v="2"/>
    <s v="Office Furnishings"/>
    <s v="Ultra Commercial Grade Dual Valve Door Closer"/>
    <s v="Wrap Bag"/>
    <n v="0.53"/>
    <d v="2011-05-31T00:00:00"/>
  </r>
  <r>
    <n v="161"/>
    <n v="998"/>
    <d v="2009-11-25T00:00:00"/>
    <s v="Not Specified"/>
    <n v="16"/>
    <n v="248.26"/>
    <n v="7.0000000000000007E-2"/>
    <s v="Regular Air"/>
    <n v="93.8"/>
    <n v="15.74"/>
    <n v="1.39"/>
    <s v="Allen Rosenblatt"/>
    <s v="Nunavut"/>
    <s v="Nunavut"/>
    <x v="0"/>
    <x v="0"/>
    <s v="Envelopes"/>
    <s v="#10-4 1/8&quot; x 9 1/2&quot; Premium Diagonal Seam Envelopes"/>
    <s v="Small Box"/>
    <n v="0.4"/>
    <d v="2009-11-26T00:00:00"/>
  </r>
  <r>
    <n v="175"/>
    <n v="1154"/>
    <d v="2012-02-14T00:00:00"/>
    <s v="Critical"/>
    <n v="44"/>
    <n v="4462.2299999999996"/>
    <n v="0.04"/>
    <s v="Delivery Truck"/>
    <n v="440.72"/>
    <n v="100.98"/>
    <n v="26.22"/>
    <s v="Sylvia Foulston"/>
    <s v="Nunavut"/>
    <s v="Nunavut"/>
    <x v="3"/>
    <x v="2"/>
    <s v="Bookcases"/>
    <s v="Hon 4-Shelf Metal Bookcases"/>
    <s v="Jumbo Box"/>
    <n v="0.6"/>
    <d v="2012-02-16T00:00:00"/>
  </r>
  <r>
    <n v="176"/>
    <n v="1154"/>
    <d v="2012-02-14T00:00:00"/>
    <s v="Critical"/>
    <n v="11"/>
    <n v="663.78400000000011"/>
    <n v="0.25"/>
    <s v="Regular Air"/>
    <n v="-481.041"/>
    <n v="71.37"/>
    <n v="69"/>
    <s v="Sylvia Foulston"/>
    <s v="Nunavut"/>
    <s v="Nunavut"/>
    <x v="3"/>
    <x v="2"/>
    <s v="Tables"/>
    <s v="Lesro Sheffield Collection Coffee Table, End Table, Center Table, Corner Table"/>
    <s v="Large Box"/>
    <n v="0.68"/>
    <d v="2012-02-16T00:00:00"/>
  </r>
  <r>
    <n v="203"/>
    <n v="1344"/>
    <d v="2012-04-15T00:00:00"/>
    <s v="Low"/>
    <n v="15"/>
    <n v="834.904"/>
    <n v="0.06"/>
    <s v="Regular Air"/>
    <n v="-11.681999999999999"/>
    <n v="65.989999999999995"/>
    <n v="5.26"/>
    <s v="Jim Radford"/>
    <s v="Nunavut"/>
    <s v="Nunavut"/>
    <x v="2"/>
    <x v="1"/>
    <s v="Telephones and Communication"/>
    <s v="g520"/>
    <s v="Small Box"/>
    <n v="0.59"/>
    <d v="2012-04-22T00:00:00"/>
  </r>
  <r>
    <n v="204"/>
    <n v="1344"/>
    <d v="2012-04-15T00:00:00"/>
    <s v="Low"/>
    <n v="18"/>
    <n v="2480.9205000000002"/>
    <n v="0.01"/>
    <s v="Regular Air"/>
    <n v="313.57800000000003"/>
    <n v="155.99"/>
    <n v="8.99"/>
    <s v="Jim Radford"/>
    <s v="Nunavut"/>
    <s v="Nunavut"/>
    <x v="2"/>
    <x v="1"/>
    <s v="Telephones and Communication"/>
    <s v="LX 788"/>
    <s v="Small Box"/>
    <n v="0.57999999999999996"/>
    <d v="2012-04-19T00:00:00"/>
  </r>
  <r>
    <n v="213"/>
    <n v="1412"/>
    <d v="2010-03-12T00:00:00"/>
    <s v="Not Specified"/>
    <n v="13"/>
    <n v="59.03"/>
    <n v="0.1"/>
    <s v="Express Air"/>
    <n v="26.92"/>
    <n v="3.69"/>
    <n v="0.5"/>
    <s v="Carlos Soltero"/>
    <s v="Nunavut"/>
    <s v="Nunavut"/>
    <x v="1"/>
    <x v="0"/>
    <s v="Labels"/>
    <s v="Avery 52"/>
    <s v="Small Box"/>
    <n v="0.38"/>
    <d v="2010-03-14T00:00:00"/>
  </r>
  <r>
    <n v="214"/>
    <n v="1412"/>
    <d v="2010-03-12T00:00:00"/>
    <s v="Not Specified"/>
    <n v="21"/>
    <n v="97.48"/>
    <n v="0.05"/>
    <s v="Regular Air"/>
    <n v="-5.77"/>
    <n v="4.71"/>
    <n v="0.7"/>
    <s v="Carlos Soltero"/>
    <s v="Nunavut"/>
    <s v="Nunavut"/>
    <x v="1"/>
    <x v="0"/>
    <s v="Rubber Bands"/>
    <s v="Plymouth Boxed Rubber Bands by Plymouth"/>
    <s v="Wrap Bag"/>
    <n v="0.8"/>
    <d v="2010-03-14T00:00:00"/>
  </r>
  <r>
    <n v="229"/>
    <n v="1539"/>
    <d v="2011-03-09T00:00:00"/>
    <s v="Low"/>
    <n v="33"/>
    <n v="511.83"/>
    <n v="0.1"/>
    <s v="Regular Air"/>
    <n v="-172.87950000000001"/>
    <n v="15.99"/>
    <n v="13.18"/>
    <s v="Carl Ludwig"/>
    <s v="Nunavut"/>
    <s v="Nunavut"/>
    <x v="2"/>
    <x v="0"/>
    <s v="Binders and Binder Accessories"/>
    <s v="GBC Pre-Punched Binding Paper, Plastic, White, 8-1/2&quot; x 11&quot;"/>
    <s v="Small Box"/>
    <n v="0.37"/>
    <d v="2011-03-11T00:00:00"/>
  </r>
  <r>
    <n v="230"/>
    <n v="1539"/>
    <d v="2011-03-09T00:00:00"/>
    <s v="Low"/>
    <n v="38"/>
    <n v="184.99"/>
    <n v="0.05"/>
    <s v="Regular Air"/>
    <n v="-144.55000000000001"/>
    <n v="4.8899999999999997"/>
    <n v="4.93"/>
    <s v="Carl Ludwig"/>
    <s v="Nunavut"/>
    <s v="Nunavut"/>
    <x v="2"/>
    <x v="1"/>
    <s v="Computer Peripherals"/>
    <s v="Maxell 3.5&quot; DS/HD IBM-Formatted Diskettes, 10/Pack"/>
    <s v="Small Pack"/>
    <n v="0.66"/>
    <d v="2011-03-14T00:00:00"/>
  </r>
  <r>
    <n v="231"/>
    <n v="1540"/>
    <d v="2012-08-04T00:00:00"/>
    <s v="High"/>
    <n v="30"/>
    <n v="80.900000000000006"/>
    <n v="0.09"/>
    <s v="Regular Air"/>
    <n v="5.76"/>
    <n v="2.88"/>
    <n v="0.7"/>
    <s v="Don Miller"/>
    <s v="Nunavut"/>
    <s v="Nunavut"/>
    <x v="3"/>
    <x v="0"/>
    <s v="Pens &amp; Art Supplies"/>
    <s v="Newell 335"/>
    <s v="Wrap Bag"/>
    <n v="0.56000000000000005"/>
    <d v="2012-08-06T00:00:00"/>
  </r>
  <r>
    <n v="249"/>
    <n v="1702"/>
    <d v="2011-05-06T00:00:00"/>
    <s v="High"/>
    <n v="23"/>
    <n v="67.239999999999995"/>
    <n v="0.06"/>
    <s v="Regular Air"/>
    <n v="4.9000000000000004"/>
    <n v="2.84"/>
    <n v="0.93"/>
    <s v="Annie Cyprus"/>
    <s v="Nunavut"/>
    <s v="Nunavut"/>
    <x v="3"/>
    <x v="0"/>
    <s v="Pens &amp; Art Supplies"/>
    <s v="SANFORD Liquid Accent™ Tank-Style Highlighters"/>
    <s v="Wrap Bag"/>
    <n v="0.54"/>
    <d v="2011-05-07T00:00:00"/>
  </r>
  <r>
    <n v="250"/>
    <n v="1761"/>
    <d v="2010-12-23T00:00:00"/>
    <s v="High"/>
    <n v="25"/>
    <n v="12028.23"/>
    <n v="0.01"/>
    <s v="Delivery Truck"/>
    <n v="-547.61"/>
    <n v="449.99"/>
    <n v="49"/>
    <s v="Carl Ludwig"/>
    <s v="Nunavut"/>
    <s v="Nunavut"/>
    <x v="2"/>
    <x v="1"/>
    <s v="Copiers and Fax"/>
    <s v="Canon PC940 Copier"/>
    <s v="Jumbo Drum"/>
    <n v="0.38"/>
    <d v="2010-12-25T00:00:00"/>
  </r>
  <r>
    <n v="256"/>
    <n v="1792"/>
    <d v="2010-11-08T00:00:00"/>
    <s v="Low"/>
    <n v="28"/>
    <n v="370.48"/>
    <n v="0.04"/>
    <s v="Regular Air"/>
    <n v="-5.45"/>
    <n v="13.48"/>
    <n v="4.51"/>
    <s v="Carlos Soltero"/>
    <s v="Nunavut"/>
    <s v="Nunavut"/>
    <x v="1"/>
    <x v="0"/>
    <s v="Storage &amp; Organization"/>
    <s v="Tenex Personal Project File with Scoop Front Design, Black"/>
    <s v="Small Box"/>
    <n v="0.59"/>
    <d v="2010-11-13T00:00:00"/>
  </r>
  <r>
    <n v="330"/>
    <n v="2275"/>
    <d v="2012-10-21T00:00:00"/>
    <s v="Not Specified"/>
    <n v="49"/>
    <n v="278"/>
    <n v="0.08"/>
    <s v="Regular Air"/>
    <n v="41.67"/>
    <n v="6.08"/>
    <n v="1.17"/>
    <s v="Grant Carroll"/>
    <s v="Nunavut"/>
    <s v="Nunavut"/>
    <x v="0"/>
    <x v="0"/>
    <s v="Pens &amp; Art Supplies"/>
    <s v="Col-Erase® Pencils with Erasers"/>
    <s v="Wrap Bag"/>
    <n v="0.56000000000000005"/>
    <d v="2012-10-22T00:00:00"/>
  </r>
  <r>
    <n v="331"/>
    <n v="2277"/>
    <d v="2011-01-01T00:00:00"/>
    <s v="Not Specified"/>
    <n v="10"/>
    <n v="66.540000000000006"/>
    <n v="0.01"/>
    <s v="Regular Air"/>
    <n v="-46.03"/>
    <n v="5.98"/>
    <n v="4.38"/>
    <s v="Don Miller"/>
    <s v="Nunavut"/>
    <s v="Nunavut"/>
    <x v="3"/>
    <x v="1"/>
    <s v="Computer Peripherals"/>
    <s v="Imation 3.5&quot; DS/HD IBM Formatted Diskettes, 10/Pack"/>
    <s v="Small Pack"/>
    <n v="0.75"/>
    <d v="2011-01-02T00:00:00"/>
  </r>
  <r>
    <n v="332"/>
    <n v="2277"/>
    <d v="2011-01-01T00:00:00"/>
    <s v="Not Specified"/>
    <n v="21"/>
    <n v="845.32"/>
    <n v="0.06"/>
    <s v="Regular Air"/>
    <n v="33.67"/>
    <n v="40.99"/>
    <n v="19.989999999999998"/>
    <s v="Don Miller"/>
    <s v="Nunavut"/>
    <s v="Nunavut"/>
    <x v="3"/>
    <x v="0"/>
    <s v="Paper"/>
    <s v="White Dual Perf Computer Printout Paper, 2700 Sheets, 1 Part, Heavyweight, 20 lbs., 14 7/8 x 11"/>
    <s v="Small Box"/>
    <n v="0.36"/>
    <d v="2011-01-03T00:00:00"/>
  </r>
  <r>
    <n v="362"/>
    <n v="2532"/>
    <d v="2011-10-10T00:00:00"/>
    <s v="High"/>
    <n v="39"/>
    <n v="282.07"/>
    <n v="0.03"/>
    <s v="Regular Air"/>
    <n v="140.01"/>
    <n v="7.31"/>
    <n v="0.49"/>
    <s v="Alan Barnes"/>
    <s v="Nunavut"/>
    <s v="Nunavut"/>
    <x v="2"/>
    <x v="0"/>
    <s v="Labels"/>
    <s v="Self-Adhesive Address Labels for Typewriters by Universal"/>
    <s v="Small Box"/>
    <n v="0.38"/>
    <d v="2011-10-11T00:00:00"/>
  </r>
  <r>
    <n v="363"/>
    <n v="2532"/>
    <d v="2011-10-10T00:00:00"/>
    <s v="High"/>
    <n v="24"/>
    <n v="426.03700000000003"/>
    <n v="0.01"/>
    <s v="Regular Air"/>
    <n v="-78.957999999999998"/>
    <n v="20.99"/>
    <n v="2.5"/>
    <s v="Alan Barnes"/>
    <s v="Nunavut"/>
    <s v="Nunavut"/>
    <x v="2"/>
    <x v="1"/>
    <s v="Telephones and Communication"/>
    <s v="Accessory37"/>
    <s v="Wrap Bag"/>
    <n v="0.81"/>
    <d v="2011-10-11T00:00:00"/>
  </r>
  <r>
    <n v="381"/>
    <n v="2631"/>
    <d v="2010-09-23T00:00:00"/>
    <s v="Low"/>
    <n v="27"/>
    <n v="1078.49"/>
    <n v="0.08"/>
    <s v="Regular Air"/>
    <n v="252.66"/>
    <n v="40.96"/>
    <n v="1.99"/>
    <s v="Jack Garza"/>
    <s v="Nunavut"/>
    <s v="Nunavut"/>
    <x v="2"/>
    <x v="1"/>
    <s v="Computer Peripherals"/>
    <s v="Fuji 5.2GB DVD-RAM"/>
    <s v="Small Pack"/>
    <n v="0.55000000000000004"/>
    <d v="2010-09-25T00:00: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n v="1"/>
    <n v="3"/>
    <d v="2010-10-13T00:00:00"/>
    <s v="Low"/>
    <n v="6"/>
    <n v="261.54000000000002"/>
    <n v="0.04"/>
    <s v="Regular Air"/>
    <n v="-213.25"/>
    <n v="38.94"/>
    <n v="35"/>
    <s v="Muhammed MacIntyre"/>
    <s v="Nunavut"/>
    <s v="Nunavut"/>
    <s v="Small Business"/>
    <x v="0"/>
    <s v="Storage &amp; Organization"/>
    <s v="Eldon Base for stackable storage shelf, platinum"/>
    <s v="Large Box"/>
    <n v="0.8"/>
    <d v="2010-10-20T00:00:00"/>
  </r>
  <r>
    <n v="49"/>
    <n v="293"/>
    <d v="2012-10-01T00:00:00"/>
    <s v="High"/>
    <n v="49"/>
    <n v="10123.02"/>
    <n v="7.0000000000000007E-2"/>
    <s v="Delivery Truck"/>
    <n v="457.81"/>
    <n v="208.16"/>
    <n v="68.02"/>
    <s v="Barry French"/>
    <s v="Nunavut"/>
    <s v="Nunavut"/>
    <s v="Consumer"/>
    <x v="0"/>
    <s v="Appliances"/>
    <s v="1.7 Cubic Foot Compact &quot;Cube&quot; Office Refrigerators"/>
    <s v="Jumbo Drum"/>
    <n v="0.57999999999999996"/>
    <d v="2012-10-02T00:00:00"/>
  </r>
  <r>
    <n v="50"/>
    <n v="293"/>
    <d v="2012-10-01T00:00:00"/>
    <s v="High"/>
    <n v="27"/>
    <n v="244.57"/>
    <n v="0.01"/>
    <s v="Regular Air"/>
    <n v="46.707500000000003"/>
    <n v="8.69"/>
    <n v="2.99"/>
    <s v="Barry French"/>
    <s v="Nunavut"/>
    <s v="Nunavut"/>
    <s v="Consumer"/>
    <x v="0"/>
    <s v="Binders and Binder Accessories"/>
    <s v="Cardinal Slant-D® Ring Binder, Heavy Gauge Vinyl"/>
    <s v="Small Box"/>
    <n v="0.39"/>
    <d v="2012-10-03T00:00:00"/>
  </r>
  <r>
    <n v="80"/>
    <n v="483"/>
    <d v="2011-07-10T00:00:00"/>
    <s v="High"/>
    <n v="30"/>
    <n v="4965.7594999999992"/>
    <n v="0.08"/>
    <s v="Regular Air"/>
    <n v="1198.971"/>
    <n v="195.99"/>
    <n v="3.99"/>
    <s v="Clay Rozendal"/>
    <s v="Nunavut"/>
    <s v="Nunavut"/>
    <s v="Corporate"/>
    <x v="1"/>
    <s v="Telephones and Communication"/>
    <s v="R380"/>
    <s v="Small Box"/>
    <n v="0.57999999999999996"/>
    <d v="2011-07-12T00:00:00"/>
  </r>
  <r>
    <n v="85"/>
    <n v="515"/>
    <d v="2010-08-28T00:00:00"/>
    <s v="Not Specified"/>
    <n v="19"/>
    <n v="394.27"/>
    <n v="0.08"/>
    <s v="Regular Air"/>
    <n v="30.94"/>
    <n v="21.78"/>
    <n v="5.94"/>
    <s v="Carlos Soltero"/>
    <s v="Nunavut"/>
    <s v="Nunavut"/>
    <s v="Consumer"/>
    <x v="0"/>
    <s v="Appliances"/>
    <s v="Holmes HEPA Air Purifier"/>
    <s v="Medium Box"/>
    <n v="0.5"/>
    <d v="2010-08-30T00:00:00"/>
  </r>
  <r>
    <n v="86"/>
    <n v="515"/>
    <d v="2010-08-28T00:00:00"/>
    <s v="Not Specified"/>
    <n v="21"/>
    <n v="146.69"/>
    <n v="0.05"/>
    <s v="Regular Air"/>
    <n v="4.43"/>
    <n v="6.64"/>
    <n v="4.95"/>
    <s v="Carlos Soltero"/>
    <s v="Nunavut"/>
    <s v="Nunavut"/>
    <s v="Consumer"/>
    <x v="2"/>
    <s v="Office Furnishings"/>
    <s v="G.E. Longer-Life Indoor Recessed Floodlight Bulbs"/>
    <s v="Small Pack"/>
    <n v="0.37"/>
    <d v="2010-08-30T00:00:00"/>
  </r>
  <r>
    <n v="97"/>
    <n v="613"/>
    <d v="2011-06-17T00:00:00"/>
    <s v="High"/>
    <n v="12"/>
    <n v="93.54"/>
    <n v="0.03"/>
    <s v="Regular Air"/>
    <n v="-54.038499999999999"/>
    <n v="7.3"/>
    <n v="7.72"/>
    <s v="Carl Jackson"/>
    <s v="Nunavut"/>
    <s v="Nunavut"/>
    <s v="Corporate"/>
    <x v="0"/>
    <s v="Binders and Binder Accessories"/>
    <s v="Angle-D Binders with Locking Rings, Label Holders"/>
    <s v="Small Box"/>
    <n v="0.38"/>
    <d v="2011-06-17T00:00:00"/>
  </r>
  <r>
    <n v="98"/>
    <n v="613"/>
    <d v="2011-06-17T00:00:00"/>
    <s v="High"/>
    <n v="22"/>
    <n v="905.08"/>
    <n v="0.09"/>
    <s v="Regular Air"/>
    <n v="127.7"/>
    <n v="42.76"/>
    <n v="6.22"/>
    <s v="Carl Jackson"/>
    <s v="Nunavut"/>
    <s v="Nunavut"/>
    <s v="Corporate"/>
    <x v="0"/>
    <s v="Storage &amp; Organization"/>
    <s v="SAFCO Mobile Desk Side File, Wire Frame"/>
    <s v="Small Box"/>
    <n v="0.43"/>
    <d v="2011-06-18T00:00:00"/>
  </r>
  <r>
    <n v="103"/>
    <n v="643"/>
    <d v="2011-03-24T00:00:00"/>
    <s v="High"/>
    <n v="21"/>
    <n v="2781.82"/>
    <n v="7.0000000000000007E-2"/>
    <s v="Express Air"/>
    <n v="-695.26"/>
    <n v="138.13999999999999"/>
    <n v="35"/>
    <s v="Monica Federle"/>
    <s v="Nunavut"/>
    <s v="Nunavut"/>
    <s v="Corporate"/>
    <x v="0"/>
    <s v="Storage &amp; Organization"/>
    <s v="SAFCO Commercial Wire Shelving, Black"/>
    <s v="Large Box"/>
    <n v="0.54"/>
    <d v="2011-03-25T00:00:00"/>
  </r>
  <r>
    <n v="107"/>
    <n v="678"/>
    <d v="2010-02-26T00:00:00"/>
    <s v="Low"/>
    <n v="44"/>
    <n v="228.41"/>
    <n v="7.0000000000000007E-2"/>
    <s v="Regular Air"/>
    <n v="-226.36"/>
    <n v="4.9800000000000004"/>
    <n v="8.33"/>
    <s v="Dorothy Badders"/>
    <s v="Nunavut"/>
    <s v="Nunavut"/>
    <s v="Home Office"/>
    <x v="0"/>
    <s v="Paper"/>
    <s v="Xerox 198"/>
    <s v="Small Box"/>
    <n v="0.38"/>
    <d v="2010-02-26T00:00:00"/>
  </r>
  <r>
    <n v="127"/>
    <n v="807"/>
    <d v="2010-11-23T00:00:00"/>
    <s v="Medium"/>
    <n v="45"/>
    <n v="196.85"/>
    <n v="0.01"/>
    <s v="Regular Air"/>
    <n v="-166.85"/>
    <n v="4.28"/>
    <n v="6.18"/>
    <s v="Neola Schneider"/>
    <s v="Nunavut"/>
    <s v="Nunavut"/>
    <s v="Home Office"/>
    <x v="0"/>
    <s v="Paper"/>
    <s v="Xerox 1980"/>
    <s v="Small Box"/>
    <n v="0.4"/>
    <d v="2010-11-24T00:00:00"/>
  </r>
  <r>
    <n v="128"/>
    <n v="807"/>
    <d v="2010-11-23T00:00:00"/>
    <s v="Medium"/>
    <n v="32"/>
    <n v="124.56"/>
    <n v="0.04"/>
    <s v="Regular Air"/>
    <n v="-14.33"/>
    <n v="3.95"/>
    <n v="2"/>
    <s v="Neola Schneider"/>
    <s v="Nunavut"/>
    <s v="Nunavut"/>
    <s v="Home Office"/>
    <x v="0"/>
    <s v="Rubber Bands"/>
    <s v="Advantus Map Pennant Flags and Round Head Tacks"/>
    <s v="Wrap Bag"/>
    <n v="0.53"/>
    <d v="2010-11-24T00:00:00"/>
  </r>
  <r>
    <n v="134"/>
    <n v="868"/>
    <d v="2012-06-08T00:00:00"/>
    <s v="Not Specified"/>
    <n v="32"/>
    <n v="716.84"/>
    <n v="0"/>
    <s v="Regular Air"/>
    <n v="134.72"/>
    <n v="21.78"/>
    <n v="5.94"/>
    <s v="Carlos Daly"/>
    <s v="Nunavut"/>
    <s v="Nunavut"/>
    <s v="Home Office"/>
    <x v="0"/>
    <s v="Appliances"/>
    <s v="Holmes HEPA Air Purifier"/>
    <s v="Medium Box"/>
    <n v="0.5"/>
    <d v="2012-06-09T00:00:00"/>
  </r>
  <r>
    <n v="135"/>
    <n v="868"/>
    <d v="2012-06-08T00:00:00"/>
    <s v="Not Specified"/>
    <n v="31"/>
    <n v="1474.33"/>
    <n v="0.04"/>
    <s v="Regular Air"/>
    <n v="114.46"/>
    <n v="47.98"/>
    <n v="3.61"/>
    <s v="Carlos Daly"/>
    <s v="Nunavut"/>
    <s v="Nunavut"/>
    <s v="Home Office"/>
    <x v="1"/>
    <s v="Computer Peripherals"/>
    <s v="DS/HD IBM Formatted Diskettes, 200/Pack - Staples"/>
    <s v="Small Pack"/>
    <n v="0.71"/>
    <d v="2012-06-10T00:00:00"/>
  </r>
  <r>
    <n v="149"/>
    <n v="933"/>
    <d v="2012-08-04T00:00:00"/>
    <s v="Not Specified"/>
    <n v="15"/>
    <n v="80.61"/>
    <n v="0.02"/>
    <s v="Regular Air"/>
    <n v="-4.7149999999999999"/>
    <n v="5.28"/>
    <n v="2.99"/>
    <s v="Claudia Miner"/>
    <s v="Nunavut"/>
    <s v="Nunavut"/>
    <s v="Small Business"/>
    <x v="0"/>
    <s v="Binders and Binder Accessories"/>
    <s v="Wilson Jones 1&quot; Hanging DublLock® Ring Binders"/>
    <s v="Small Box"/>
    <n v="0.37"/>
    <d v="2012-08-04T00:00:00"/>
  </r>
  <r>
    <n v="160"/>
    <n v="995"/>
    <d v="2011-05-30T00:00:00"/>
    <s v="Medium"/>
    <n v="46"/>
    <n v="1815.49"/>
    <n v="0.03"/>
    <s v="Regular Air"/>
    <n v="782.91"/>
    <n v="39.89"/>
    <n v="3.04"/>
    <s v="Neola Schneider"/>
    <s v="Nunavut"/>
    <s v="Nunavut"/>
    <s v="Home Office"/>
    <x v="2"/>
    <s v="Office Furnishings"/>
    <s v="Ultra Commercial Grade Dual Valve Door Closer"/>
    <s v="Wrap Bag"/>
    <n v="0.53"/>
    <d v="2011-05-31T00:00:00"/>
  </r>
  <r>
    <n v="161"/>
    <n v="998"/>
    <d v="2009-11-25T00:00:00"/>
    <s v="Not Specified"/>
    <n v="16"/>
    <n v="248.26"/>
    <n v="7.0000000000000007E-2"/>
    <s v="Regular Air"/>
    <n v="93.8"/>
    <n v="15.74"/>
    <n v="1.39"/>
    <s v="Allen Rosenblatt"/>
    <s v="Nunavut"/>
    <s v="Nunavut"/>
    <s v="Small Business"/>
    <x v="0"/>
    <s v="Envelopes"/>
    <s v="#10-4 1/8&quot; x 9 1/2&quot; Premium Diagonal Seam Envelopes"/>
    <s v="Small Box"/>
    <n v="0.4"/>
    <d v="2009-11-26T00:00:00"/>
  </r>
  <r>
    <n v="175"/>
    <n v="1154"/>
    <d v="2012-02-14T00:00:00"/>
    <s v="Critical"/>
    <n v="44"/>
    <n v="4462.2299999999996"/>
    <n v="0.04"/>
    <s v="Delivery Truck"/>
    <n v="440.72"/>
    <n v="100.98"/>
    <n v="26.22"/>
    <s v="Sylvia Foulston"/>
    <s v="Nunavut"/>
    <s v="Nunavut"/>
    <s v="Home Office"/>
    <x v="2"/>
    <s v="Bookcases"/>
    <s v="Hon 4-Shelf Metal Bookcases"/>
    <s v="Jumbo Box"/>
    <n v="0.6"/>
    <d v="2012-02-16T00:00:00"/>
  </r>
  <r>
    <n v="176"/>
    <n v="1154"/>
    <d v="2012-02-14T00:00:00"/>
    <s v="Critical"/>
    <n v="11"/>
    <n v="663.78400000000011"/>
    <n v="0.25"/>
    <s v="Regular Air"/>
    <n v="-481.041"/>
    <n v="71.37"/>
    <n v="69"/>
    <s v="Sylvia Foulston"/>
    <s v="Nunavut"/>
    <s v="Nunavut"/>
    <s v="Home Office"/>
    <x v="2"/>
    <s v="Tables"/>
    <s v="Lesro Sheffield Collection Coffee Table, End Table, Center Table, Corner Table"/>
    <s v="Large Box"/>
    <n v="0.68"/>
    <d v="2012-02-16T00:00:00"/>
  </r>
  <r>
    <n v="203"/>
    <n v="1344"/>
    <d v="2012-04-15T00:00:00"/>
    <s v="Low"/>
    <n v="15"/>
    <n v="834.904"/>
    <n v="0.06"/>
    <s v="Regular Air"/>
    <n v="-11.681999999999999"/>
    <n v="65.989999999999995"/>
    <n v="5.26"/>
    <s v="Jim Radford"/>
    <s v="Nunavut"/>
    <s v="Nunavut"/>
    <s v="Corporate"/>
    <x v="1"/>
    <s v="Telephones and Communication"/>
    <s v="g520"/>
    <s v="Small Box"/>
    <n v="0.59"/>
    <d v="2012-04-22T00:00:00"/>
  </r>
  <r>
    <n v="204"/>
    <n v="1344"/>
    <d v="2012-04-15T00:00:00"/>
    <s v="Low"/>
    <n v="18"/>
    <n v="2480.9205000000002"/>
    <n v="0.01"/>
    <s v="Regular Air"/>
    <n v="313.57800000000003"/>
    <n v="155.99"/>
    <n v="8.99"/>
    <s v="Jim Radford"/>
    <s v="Nunavut"/>
    <s v="Nunavut"/>
    <s v="Corporate"/>
    <x v="1"/>
    <s v="Telephones and Communication"/>
    <s v="LX 788"/>
    <s v="Small Box"/>
    <n v="0.57999999999999996"/>
    <d v="2012-04-19T00:00:00"/>
  </r>
  <r>
    <n v="213"/>
    <n v="1412"/>
    <d v="2010-03-12T00:00:00"/>
    <s v="Not Specified"/>
    <n v="13"/>
    <n v="59.03"/>
    <n v="0.1"/>
    <s v="Express Air"/>
    <n v="26.92"/>
    <n v="3.69"/>
    <n v="0.5"/>
    <s v="Carlos Soltero"/>
    <s v="Nunavut"/>
    <s v="Nunavut"/>
    <s v="Consumer"/>
    <x v="0"/>
    <s v="Labels"/>
    <s v="Avery 52"/>
    <s v="Small Box"/>
    <n v="0.38"/>
    <d v="2010-03-14T00:00:00"/>
  </r>
  <r>
    <n v="214"/>
    <n v="1412"/>
    <d v="2010-03-12T00:00:00"/>
    <s v="Not Specified"/>
    <n v="21"/>
    <n v="97.48"/>
    <n v="0.05"/>
    <s v="Regular Air"/>
    <n v="-5.77"/>
    <n v="4.71"/>
    <n v="0.7"/>
    <s v="Carlos Soltero"/>
    <s v="Nunavut"/>
    <s v="Nunavut"/>
    <s v="Consumer"/>
    <x v="0"/>
    <s v="Rubber Bands"/>
    <s v="Plymouth Boxed Rubber Bands by Plymouth"/>
    <s v="Wrap Bag"/>
    <n v="0.8"/>
    <d v="2010-03-14T00:00:00"/>
  </r>
  <r>
    <n v="229"/>
    <n v="1539"/>
    <d v="2011-03-09T00:00:00"/>
    <s v="Low"/>
    <n v="33"/>
    <n v="511.83"/>
    <n v="0.1"/>
    <s v="Regular Air"/>
    <n v="-172.87950000000001"/>
    <n v="15.99"/>
    <n v="13.18"/>
    <s v="Carl Ludwig"/>
    <s v="Nunavut"/>
    <s v="Nunavut"/>
    <s v="Corporate"/>
    <x v="0"/>
    <s v="Binders and Binder Accessories"/>
    <s v="GBC Pre-Punched Binding Paper, Plastic, White, 8-1/2&quot; x 11&quot;"/>
    <s v="Small Box"/>
    <n v="0.37"/>
    <d v="2011-03-11T00:00:00"/>
  </r>
  <r>
    <n v="230"/>
    <n v="1539"/>
    <d v="2011-03-09T00:00:00"/>
    <s v="Low"/>
    <n v="38"/>
    <n v="184.99"/>
    <n v="0.05"/>
    <s v="Regular Air"/>
    <n v="-144.55000000000001"/>
    <n v="4.8899999999999997"/>
    <n v="4.93"/>
    <s v="Carl Ludwig"/>
    <s v="Nunavut"/>
    <s v="Nunavut"/>
    <s v="Corporate"/>
    <x v="1"/>
    <s v="Computer Peripherals"/>
    <s v="Maxell 3.5&quot; DS/HD IBM-Formatted Diskettes, 10/Pack"/>
    <s v="Small Pack"/>
    <n v="0.66"/>
    <d v="2011-03-14T00:00:00"/>
  </r>
  <r>
    <n v="231"/>
    <n v="1540"/>
    <d v="2012-08-04T00:00:00"/>
    <s v="High"/>
    <n v="30"/>
    <n v="80.900000000000006"/>
    <n v="0.09"/>
    <s v="Regular Air"/>
    <n v="5.76"/>
    <n v="2.88"/>
    <n v="0.7"/>
    <s v="Don Miller"/>
    <s v="Nunavut"/>
    <s v="Nunavut"/>
    <s v="Home Office"/>
    <x v="0"/>
    <s v="Pens &amp; Art Supplies"/>
    <s v="Newell 335"/>
    <s v="Wrap Bag"/>
    <n v="0.56000000000000005"/>
    <d v="2012-08-06T00:00:00"/>
  </r>
  <r>
    <n v="249"/>
    <n v="1702"/>
    <d v="2011-05-06T00:00:00"/>
    <s v="High"/>
    <n v="23"/>
    <n v="67.239999999999995"/>
    <n v="0.06"/>
    <s v="Regular Air"/>
    <n v="4.9000000000000004"/>
    <n v="2.84"/>
    <n v="0.93"/>
    <s v="Annie Cyprus"/>
    <s v="Nunavut"/>
    <s v="Nunavut"/>
    <s v="Home Office"/>
    <x v="0"/>
    <s v="Pens &amp; Art Supplies"/>
    <s v="SANFORD Liquid Accent™ Tank-Style Highlighters"/>
    <s v="Wrap Bag"/>
    <n v="0.54"/>
    <d v="2011-05-07T00:00:00"/>
  </r>
  <r>
    <n v="250"/>
    <n v="1761"/>
    <d v="2010-12-23T00:00:00"/>
    <s v="High"/>
    <n v="25"/>
    <n v="12028.23"/>
    <n v="0.01"/>
    <s v="Delivery Truck"/>
    <n v="-547.61"/>
    <n v="449.99"/>
    <n v="49"/>
    <s v="Carl Ludwig"/>
    <s v="Nunavut"/>
    <s v="Nunavut"/>
    <s v="Corporate"/>
    <x v="1"/>
    <s v="Copiers and Fax"/>
    <s v="Canon PC940 Copier"/>
    <s v="Jumbo Drum"/>
    <n v="0.38"/>
    <d v="2010-12-25T00:00:00"/>
  </r>
  <r>
    <n v="256"/>
    <n v="1792"/>
    <d v="2010-11-08T00:00:00"/>
    <s v="Low"/>
    <n v="28"/>
    <n v="370.48"/>
    <n v="0.04"/>
    <s v="Regular Air"/>
    <n v="-5.45"/>
    <n v="13.48"/>
    <n v="4.51"/>
    <s v="Carlos Soltero"/>
    <s v="Nunavut"/>
    <s v="Nunavut"/>
    <s v="Consumer"/>
    <x v="0"/>
    <s v="Storage &amp; Organization"/>
    <s v="Tenex Personal Project File with Scoop Front Design, Black"/>
    <s v="Small Box"/>
    <n v="0.59"/>
    <d v="2010-11-13T00:00:00"/>
  </r>
  <r>
    <n v="330"/>
    <n v="2275"/>
    <d v="2012-10-21T00:00:00"/>
    <s v="Not Specified"/>
    <n v="49"/>
    <n v="278"/>
    <n v="0.08"/>
    <s v="Regular Air"/>
    <n v="41.67"/>
    <n v="6.08"/>
    <n v="1.17"/>
    <s v="Grant Carroll"/>
    <s v="Nunavut"/>
    <s v="Nunavut"/>
    <s v="Small Business"/>
    <x v="0"/>
    <s v="Pens &amp; Art Supplies"/>
    <s v="Col-Erase® Pencils with Erasers"/>
    <s v="Wrap Bag"/>
    <n v="0.56000000000000005"/>
    <d v="2012-10-22T00:00:00"/>
  </r>
  <r>
    <n v="331"/>
    <n v="2277"/>
    <d v="2011-01-01T00:00:00"/>
    <s v="Not Specified"/>
    <n v="10"/>
    <n v="66.540000000000006"/>
    <n v="0.01"/>
    <s v="Regular Air"/>
    <n v="-46.03"/>
    <n v="5.98"/>
    <n v="4.38"/>
    <s v="Don Miller"/>
    <s v="Nunavut"/>
    <s v="Nunavut"/>
    <s v="Home Office"/>
    <x v="1"/>
    <s v="Computer Peripherals"/>
    <s v="Imation 3.5&quot; DS/HD IBM Formatted Diskettes, 10/Pack"/>
    <s v="Small Pack"/>
    <n v="0.75"/>
    <d v="2011-01-02T00:00:00"/>
  </r>
  <r>
    <n v="332"/>
    <n v="2277"/>
    <d v="2011-01-01T00:00:00"/>
    <s v="Not Specified"/>
    <n v="21"/>
    <n v="845.32"/>
    <n v="0.06"/>
    <s v="Regular Air"/>
    <n v="33.67"/>
    <n v="40.99"/>
    <n v="19.989999999999998"/>
    <s v="Don Miller"/>
    <s v="Nunavut"/>
    <s v="Nunavut"/>
    <s v="Home Office"/>
    <x v="0"/>
    <s v="Paper"/>
    <s v="White Dual Perf Computer Printout Paper, 2700 Sheets, 1 Part, Heavyweight, 20 lbs., 14 7/8 x 11"/>
    <s v="Small Box"/>
    <n v="0.36"/>
    <d v="2011-01-03T00:00:00"/>
  </r>
  <r>
    <n v="362"/>
    <n v="2532"/>
    <d v="2011-10-10T00:00:00"/>
    <s v="High"/>
    <n v="39"/>
    <n v="282.07"/>
    <n v="0.03"/>
    <s v="Regular Air"/>
    <n v="140.01"/>
    <n v="7.31"/>
    <n v="0.49"/>
    <s v="Alan Barnes"/>
    <s v="Nunavut"/>
    <s v="Nunavut"/>
    <s v="Corporate"/>
    <x v="0"/>
    <s v="Labels"/>
    <s v="Self-Adhesive Address Labels for Typewriters by Universal"/>
    <s v="Small Box"/>
    <n v="0.38"/>
    <d v="2011-10-11T00:00:00"/>
  </r>
  <r>
    <n v="363"/>
    <n v="2532"/>
    <d v="2011-10-10T00:00:00"/>
    <s v="High"/>
    <n v="24"/>
    <n v="426.03700000000003"/>
    <n v="0.01"/>
    <s v="Regular Air"/>
    <n v="-78.957999999999998"/>
    <n v="20.99"/>
    <n v="2.5"/>
    <s v="Alan Barnes"/>
    <s v="Nunavut"/>
    <s v="Nunavut"/>
    <s v="Corporate"/>
    <x v="1"/>
    <s v="Telephones and Communication"/>
    <s v="Accessory37"/>
    <s v="Wrap Bag"/>
    <n v="0.81"/>
    <d v="2011-10-11T00:00:00"/>
  </r>
  <r>
    <n v="381"/>
    <n v="2631"/>
    <d v="2010-09-23T00:00:00"/>
    <s v="Low"/>
    <n v="27"/>
    <n v="1078.49"/>
    <n v="0.08"/>
    <s v="Regular Air"/>
    <n v="252.66"/>
    <n v="40.96"/>
    <n v="1.99"/>
    <s v="Jack Garza"/>
    <s v="Nunavut"/>
    <s v="Nunavut"/>
    <s v="Corporate"/>
    <x v="1"/>
    <s v="Computer Peripherals"/>
    <s v="Fuji 5.2GB DVD-RAM"/>
    <s v="Small Pack"/>
    <n v="0.55000000000000004"/>
    <d v="2010-09-25T00:00:00"/>
  </r>
  <r>
    <n v="23"/>
    <n v="678"/>
    <d v="2010-02-26T00:00:00"/>
    <s v="Low"/>
    <n v="44"/>
    <n v="228.41"/>
    <n v="7.0000000000000007E-2"/>
    <s v="Regular Air"/>
    <n v="-226.36"/>
    <n v="4.9800000000000004"/>
    <n v="8.33"/>
    <s v="Dorothy Badders"/>
    <s v="Nunavut"/>
    <s v="Nunavut"/>
    <s v="Home Office"/>
    <x v="3"/>
    <s v="Paper"/>
    <s v="Xerox 198"/>
    <s v="Small Box"/>
    <n v="0.38"/>
    <d v="2010-02-26T00:00:00"/>
  </r>
  <r>
    <n v="28"/>
    <n v="807"/>
    <d v="2010-11-23T00:00:00"/>
    <s v="Medium"/>
    <n v="45"/>
    <n v="196.85"/>
    <n v="0.01"/>
    <s v="Regular Air"/>
    <n v="-166.85"/>
    <n v="4.28"/>
    <n v="6.18"/>
    <s v="Neola Schneider"/>
    <s v="Nunavut"/>
    <s v="Nunavut"/>
    <s v="Home Office"/>
    <x v="3"/>
    <s v="Paper"/>
    <s v="Xerox 1980"/>
    <s v="Small Box"/>
    <n v="0.4"/>
    <d v="2010-11-24T00:00:00"/>
  </r>
  <r>
    <n v="30"/>
    <n v="807"/>
    <d v="2010-11-23T00:00:00"/>
    <s v="Medium"/>
    <n v="32"/>
    <n v="124.56"/>
    <n v="0.04"/>
    <s v="Regular Air"/>
    <n v="-14.33"/>
    <n v="3.95"/>
    <n v="2"/>
    <s v="Neola Schneider"/>
    <s v="Nunavut"/>
    <s v="Nunavut"/>
    <s v="Home Office"/>
    <x v="3"/>
    <s v="Rubber Bands"/>
    <s v="Advantus Map Pennant Flags and Round Head Tacks"/>
    <s v="Wrap Bag"/>
    <n v="0.53"/>
    <d v="2010-11-24T00:00:00"/>
  </r>
  <r>
    <n v="42"/>
    <n v="868"/>
    <d v="2012-06-08T00:00:00"/>
    <s v="Not Specified"/>
    <n v="32"/>
    <n v="716.84"/>
    <n v="0"/>
    <s v="Regular Air"/>
    <n v="134.72"/>
    <n v="21.78"/>
    <n v="5.94"/>
    <s v="Carlos Daly"/>
    <s v="Nunavut"/>
    <s v="Nunavut"/>
    <s v="Home Office"/>
    <x v="3"/>
    <s v="Appliances"/>
    <s v="Holmes HEPA Air Purifier"/>
    <s v="Medium Box"/>
    <n v="0.5"/>
    <d v="2012-06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2CD590-13D0-4166-8028-6879EBA72D24}" name="PivotTable5" cacheId="3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1:B16" firstHeaderRow="1" firstDataRow="1" firstDataCol="1"/>
  <pivotFields count="21">
    <pivotField showAll="0"/>
    <pivotField showAll="0"/>
    <pivotField numFmtId="14"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numFmtId="14" showAll="0"/>
  </pivotFields>
  <rowFields count="1">
    <field x="1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8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AEED8C-7F9C-4A65-B676-CA3CAB943393}" name="PivotTable4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8" firstHeaderRow="1" firstDataRow="1" firstDataCol="1"/>
  <pivotFields count="21">
    <pivotField showAll="0"/>
    <pivotField showAll="0"/>
    <pivotField numFmtId="14" showAll="0"/>
    <pivotField showAll="0"/>
    <pivotField showAll="0"/>
    <pivotField dataField="1" showAll="0"/>
    <pivotField showAll="0"/>
    <pivotField showAll="0"/>
    <pivotField numFmtId="2" showAll="0"/>
    <pivotField showAll="0"/>
    <pivotField showAll="0"/>
    <pivotField showAll="0"/>
    <pivotField showAll="0"/>
    <pivotField showAll="0"/>
    <pivotField showAll="0"/>
    <pivotField axis="axisRow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showAll="0"/>
    <pivotField numFmtId="14" showAll="0"/>
  </pivotFields>
  <rowFields count="1">
    <field x="1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D36E7-45BD-4E31-B22E-3409D29A4C21}">
  <sheetPr codeName="Sheet1"/>
  <dimension ref="A1:Q31"/>
  <sheetViews>
    <sheetView tabSelected="1" workbookViewId="0">
      <selection activeCell="O29" sqref="O29"/>
    </sheetView>
  </sheetViews>
  <sheetFormatPr defaultRowHeight="15" x14ac:dyDescent="0.25"/>
  <cols>
    <col min="1" max="1" width="16.7109375" bestFit="1" customWidth="1"/>
    <col min="5" max="5" width="37.140625" bestFit="1" customWidth="1"/>
    <col min="13" max="13" width="9.85546875" style="2" bestFit="1" customWidth="1"/>
  </cols>
  <sheetData>
    <row r="1" spans="1:17" x14ac:dyDescent="0.25">
      <c r="A1" t="s">
        <v>0</v>
      </c>
      <c r="B1" t="s">
        <v>1</v>
      </c>
      <c r="C1" t="s">
        <v>77</v>
      </c>
      <c r="D1" t="s">
        <v>2</v>
      </c>
      <c r="E1" t="s">
        <v>3</v>
      </c>
      <c r="F1" t="s">
        <v>4</v>
      </c>
      <c r="G1" t="s">
        <v>5</v>
      </c>
      <c r="H1" t="s">
        <v>127</v>
      </c>
      <c r="I1" t="s">
        <v>6</v>
      </c>
      <c r="J1" t="s">
        <v>7</v>
      </c>
      <c r="K1" t="s">
        <v>8</v>
      </c>
      <c r="L1" t="s">
        <v>9</v>
      </c>
      <c r="M1" s="2" t="s">
        <v>10</v>
      </c>
      <c r="N1" t="s">
        <v>11</v>
      </c>
      <c r="O1" t="s">
        <v>12</v>
      </c>
      <c r="P1" t="s">
        <v>13</v>
      </c>
      <c r="Q1" t="s">
        <v>111</v>
      </c>
    </row>
    <row r="2" spans="1:17" x14ac:dyDescent="0.25">
      <c r="A2" t="s">
        <v>14</v>
      </c>
      <c r="B2">
        <v>33</v>
      </c>
      <c r="C2">
        <v>93</v>
      </c>
      <c r="D2">
        <v>93</v>
      </c>
      <c r="E2" s="1" t="s">
        <v>57</v>
      </c>
      <c r="F2">
        <v>158023</v>
      </c>
      <c r="G2" t="s">
        <v>15</v>
      </c>
      <c r="H2">
        <v>159</v>
      </c>
      <c r="I2" t="s">
        <v>16</v>
      </c>
      <c r="J2">
        <v>93</v>
      </c>
      <c r="K2" t="s">
        <v>17</v>
      </c>
      <c r="L2">
        <v>0</v>
      </c>
      <c r="M2" s="2">
        <v>38169</v>
      </c>
      <c r="N2" t="s">
        <v>18</v>
      </c>
      <c r="O2" t="s">
        <v>78</v>
      </c>
      <c r="P2" t="s">
        <v>96</v>
      </c>
      <c r="Q2" s="4">
        <f>H2/2.205</f>
        <v>72.10884353741497</v>
      </c>
    </row>
    <row r="3" spans="1:17" x14ac:dyDescent="0.25">
      <c r="A3" t="s">
        <v>19</v>
      </c>
      <c r="B3">
        <v>35</v>
      </c>
      <c r="C3">
        <v>92</v>
      </c>
      <c r="D3">
        <v>92</v>
      </c>
      <c r="E3" s="1" t="s">
        <v>58</v>
      </c>
      <c r="F3">
        <v>20801</v>
      </c>
      <c r="G3" t="s">
        <v>20</v>
      </c>
      <c r="H3">
        <v>183</v>
      </c>
      <c r="I3" t="s">
        <v>21</v>
      </c>
      <c r="J3">
        <v>92</v>
      </c>
      <c r="K3" t="s">
        <v>22</v>
      </c>
      <c r="L3">
        <v>0</v>
      </c>
      <c r="M3" s="2">
        <v>43291</v>
      </c>
      <c r="N3" t="s">
        <v>18</v>
      </c>
      <c r="O3" t="s">
        <v>79</v>
      </c>
      <c r="P3" t="s">
        <v>97</v>
      </c>
      <c r="Q3" s="4">
        <f t="shared" ref="Q3:Q31" si="0">H3/2.205</f>
        <v>82.993197278911566</v>
      </c>
    </row>
    <row r="4" spans="1:17" x14ac:dyDescent="0.25">
      <c r="A4" t="s">
        <v>23</v>
      </c>
      <c r="B4">
        <v>27</v>
      </c>
      <c r="C4">
        <v>91</v>
      </c>
      <c r="D4">
        <v>93</v>
      </c>
      <c r="E4" s="1" t="s">
        <v>59</v>
      </c>
      <c r="F4">
        <v>200389</v>
      </c>
      <c r="G4" t="s">
        <v>20</v>
      </c>
      <c r="H4">
        <v>192</v>
      </c>
      <c r="I4" t="s">
        <v>21</v>
      </c>
      <c r="J4">
        <v>91</v>
      </c>
      <c r="K4" t="s">
        <v>24</v>
      </c>
      <c r="L4">
        <v>2</v>
      </c>
      <c r="M4" s="2">
        <v>41836</v>
      </c>
      <c r="N4" t="s">
        <v>18</v>
      </c>
      <c r="O4" t="s">
        <v>80</v>
      </c>
      <c r="P4" t="s">
        <v>98</v>
      </c>
      <c r="Q4" s="4">
        <f t="shared" si="0"/>
        <v>87.074829931972786</v>
      </c>
    </row>
    <row r="5" spans="1:17" x14ac:dyDescent="0.25">
      <c r="A5" t="s">
        <v>25</v>
      </c>
      <c r="B5">
        <v>29</v>
      </c>
      <c r="C5">
        <v>91</v>
      </c>
      <c r="D5">
        <v>91</v>
      </c>
      <c r="E5" s="1" t="s">
        <v>60</v>
      </c>
      <c r="F5">
        <v>192985</v>
      </c>
      <c r="G5" t="s">
        <v>26</v>
      </c>
      <c r="H5">
        <v>154</v>
      </c>
      <c r="I5" t="s">
        <v>21</v>
      </c>
      <c r="J5">
        <v>91</v>
      </c>
      <c r="K5" t="s">
        <v>27</v>
      </c>
      <c r="L5">
        <v>0</v>
      </c>
      <c r="M5" s="2">
        <v>42246</v>
      </c>
      <c r="N5" t="s">
        <v>18</v>
      </c>
      <c r="O5" t="s">
        <v>81</v>
      </c>
      <c r="P5" t="s">
        <v>99</v>
      </c>
      <c r="Q5" s="4">
        <f t="shared" si="0"/>
        <v>69.841269841269835</v>
      </c>
    </row>
    <row r="6" spans="1:17" x14ac:dyDescent="0.25">
      <c r="A6" t="s">
        <v>28</v>
      </c>
      <c r="B6">
        <v>28</v>
      </c>
      <c r="C6">
        <v>91</v>
      </c>
      <c r="D6">
        <v>91</v>
      </c>
      <c r="E6" s="1" t="s">
        <v>61</v>
      </c>
      <c r="F6">
        <v>190871</v>
      </c>
      <c r="G6" t="s">
        <v>29</v>
      </c>
      <c r="H6">
        <v>150</v>
      </c>
      <c r="I6" t="s">
        <v>21</v>
      </c>
      <c r="J6">
        <v>91</v>
      </c>
      <c r="K6" t="s">
        <v>30</v>
      </c>
      <c r="L6">
        <v>0</v>
      </c>
      <c r="M6" s="2">
        <v>42950</v>
      </c>
      <c r="N6" t="s">
        <v>18</v>
      </c>
      <c r="O6" t="s">
        <v>82</v>
      </c>
      <c r="P6" t="s">
        <v>100</v>
      </c>
      <c r="Q6" s="4">
        <f t="shared" si="0"/>
        <v>68.027210884353735</v>
      </c>
    </row>
    <row r="7" spans="1:17" x14ac:dyDescent="0.25">
      <c r="A7" t="s">
        <v>31</v>
      </c>
      <c r="B7">
        <v>31</v>
      </c>
      <c r="C7">
        <v>91</v>
      </c>
      <c r="D7">
        <v>91</v>
      </c>
      <c r="E7" s="1" t="s">
        <v>62</v>
      </c>
      <c r="F7">
        <v>188545</v>
      </c>
      <c r="G7" t="s">
        <v>32</v>
      </c>
      <c r="H7">
        <v>176</v>
      </c>
      <c r="I7" t="s">
        <v>21</v>
      </c>
      <c r="J7">
        <v>91</v>
      </c>
      <c r="K7" t="s">
        <v>22</v>
      </c>
      <c r="L7">
        <v>0</v>
      </c>
      <c r="M7" s="2">
        <v>41821</v>
      </c>
      <c r="N7" t="s">
        <v>18</v>
      </c>
      <c r="O7" t="s">
        <v>83</v>
      </c>
      <c r="P7" t="s">
        <v>101</v>
      </c>
      <c r="Q7" s="4">
        <f t="shared" si="0"/>
        <v>79.818594104308389</v>
      </c>
    </row>
    <row r="8" spans="1:17" x14ac:dyDescent="0.25">
      <c r="A8" t="s">
        <v>33</v>
      </c>
      <c r="B8">
        <v>21</v>
      </c>
      <c r="C8">
        <v>90</v>
      </c>
      <c r="D8">
        <v>95</v>
      </c>
      <c r="E8" s="1" t="s">
        <v>63</v>
      </c>
      <c r="F8">
        <v>231747</v>
      </c>
      <c r="G8" t="s">
        <v>34</v>
      </c>
      <c r="H8">
        <v>161</v>
      </c>
      <c r="I8" t="s">
        <v>21</v>
      </c>
      <c r="J8">
        <v>91</v>
      </c>
      <c r="K8" t="s">
        <v>22</v>
      </c>
      <c r="L8">
        <v>5</v>
      </c>
      <c r="M8" s="2">
        <v>43282</v>
      </c>
      <c r="N8" t="s">
        <v>18</v>
      </c>
      <c r="O8" t="s">
        <v>84</v>
      </c>
      <c r="P8" t="s">
        <v>102</v>
      </c>
      <c r="Q8" s="4">
        <f t="shared" si="0"/>
        <v>73.015873015873012</v>
      </c>
    </row>
    <row r="9" spans="1:17" x14ac:dyDescent="0.25">
      <c r="A9" t="s">
        <v>35</v>
      </c>
      <c r="B9">
        <v>27</v>
      </c>
      <c r="C9">
        <v>90</v>
      </c>
      <c r="D9">
        <v>91</v>
      </c>
      <c r="E9" s="1" t="s">
        <v>64</v>
      </c>
      <c r="F9">
        <v>212831</v>
      </c>
      <c r="G9" t="s">
        <v>36</v>
      </c>
      <c r="H9">
        <v>201</v>
      </c>
      <c r="I9" t="s">
        <v>21</v>
      </c>
      <c r="J9">
        <v>90</v>
      </c>
      <c r="K9" t="s">
        <v>24</v>
      </c>
      <c r="L9">
        <v>1</v>
      </c>
      <c r="M9" s="2">
        <v>43300</v>
      </c>
      <c r="N9" t="s">
        <v>18</v>
      </c>
      <c r="O9" t="s">
        <v>85</v>
      </c>
      <c r="P9" t="s">
        <v>102</v>
      </c>
      <c r="Q9" s="4">
        <f t="shared" si="0"/>
        <v>91.156462585034006</v>
      </c>
    </row>
    <row r="10" spans="1:17" x14ac:dyDescent="0.25">
      <c r="A10" t="s">
        <v>37</v>
      </c>
      <c r="B10">
        <v>28</v>
      </c>
      <c r="C10">
        <v>90</v>
      </c>
      <c r="D10">
        <v>90</v>
      </c>
      <c r="E10" s="1" t="s">
        <v>65</v>
      </c>
      <c r="F10">
        <v>209331</v>
      </c>
      <c r="G10" t="s">
        <v>29</v>
      </c>
      <c r="H10">
        <v>157</v>
      </c>
      <c r="I10" t="s">
        <v>16</v>
      </c>
      <c r="J10">
        <v>90</v>
      </c>
      <c r="K10" t="s">
        <v>17</v>
      </c>
      <c r="L10">
        <v>0</v>
      </c>
      <c r="M10" s="2">
        <v>42917</v>
      </c>
      <c r="N10" t="s">
        <v>18</v>
      </c>
      <c r="O10" t="s">
        <v>86</v>
      </c>
      <c r="P10" t="s">
        <v>103</v>
      </c>
      <c r="Q10" s="4">
        <f t="shared" si="0"/>
        <v>71.201814058956913</v>
      </c>
    </row>
    <row r="11" spans="1:17" x14ac:dyDescent="0.25">
      <c r="A11" t="s">
        <v>38</v>
      </c>
      <c r="B11">
        <v>28</v>
      </c>
      <c r="C11">
        <v>90</v>
      </c>
      <c r="D11">
        <v>90</v>
      </c>
      <c r="E11" s="1" t="s">
        <v>66</v>
      </c>
      <c r="F11">
        <v>208722</v>
      </c>
      <c r="G11" t="s">
        <v>29</v>
      </c>
      <c r="H11">
        <v>152</v>
      </c>
      <c r="I11" t="s">
        <v>21</v>
      </c>
      <c r="J11">
        <v>90</v>
      </c>
      <c r="K11" t="s">
        <v>30</v>
      </c>
      <c r="L11">
        <v>0</v>
      </c>
      <c r="M11" s="2">
        <v>42552</v>
      </c>
      <c r="N11" t="s">
        <v>18</v>
      </c>
      <c r="O11" t="s">
        <v>86</v>
      </c>
      <c r="P11" t="s">
        <v>103</v>
      </c>
      <c r="Q11" s="4">
        <f t="shared" si="0"/>
        <v>68.934240362811792</v>
      </c>
    </row>
    <row r="12" spans="1:17" x14ac:dyDescent="0.25">
      <c r="A12" t="s">
        <v>39</v>
      </c>
      <c r="B12">
        <v>28</v>
      </c>
      <c r="C12">
        <v>90</v>
      </c>
      <c r="D12">
        <v>91</v>
      </c>
      <c r="E12" s="1" t="s">
        <v>67</v>
      </c>
      <c r="F12">
        <v>203376</v>
      </c>
      <c r="G12" t="s">
        <v>40</v>
      </c>
      <c r="H12">
        <v>203</v>
      </c>
      <c r="I12" t="s">
        <v>21</v>
      </c>
      <c r="J12">
        <v>90</v>
      </c>
      <c r="K12" t="s">
        <v>41</v>
      </c>
      <c r="L12">
        <v>1</v>
      </c>
      <c r="M12" s="2">
        <v>43101</v>
      </c>
      <c r="N12" t="s">
        <v>18</v>
      </c>
      <c r="O12" t="s">
        <v>87</v>
      </c>
      <c r="P12" t="s">
        <v>104</v>
      </c>
      <c r="Q12" s="4">
        <f t="shared" si="0"/>
        <v>92.063492063492063</v>
      </c>
    </row>
    <row r="13" spans="1:17" x14ac:dyDescent="0.25">
      <c r="A13" t="s">
        <v>42</v>
      </c>
      <c r="B13">
        <v>28</v>
      </c>
      <c r="C13">
        <v>90</v>
      </c>
      <c r="D13">
        <v>93</v>
      </c>
      <c r="E13" s="1" t="s">
        <v>68</v>
      </c>
      <c r="F13">
        <v>192448</v>
      </c>
      <c r="G13" t="s">
        <v>20</v>
      </c>
      <c r="H13">
        <v>187</v>
      </c>
      <c r="I13" t="s">
        <v>21</v>
      </c>
      <c r="J13">
        <v>90</v>
      </c>
      <c r="K13" t="s">
        <v>24</v>
      </c>
      <c r="L13">
        <v>3</v>
      </c>
      <c r="M13" s="2">
        <v>41821</v>
      </c>
      <c r="N13" t="s">
        <v>18</v>
      </c>
      <c r="O13" t="s">
        <v>88</v>
      </c>
      <c r="P13" t="s">
        <v>105</v>
      </c>
      <c r="Q13" s="4">
        <f t="shared" si="0"/>
        <v>84.807256235827666</v>
      </c>
    </row>
    <row r="14" spans="1:17" x14ac:dyDescent="0.25">
      <c r="A14" t="s">
        <v>43</v>
      </c>
      <c r="B14">
        <v>28</v>
      </c>
      <c r="C14">
        <v>89</v>
      </c>
      <c r="D14">
        <v>89</v>
      </c>
      <c r="E14" s="1" t="s">
        <v>69</v>
      </c>
      <c r="F14">
        <v>200145</v>
      </c>
      <c r="G14" t="s">
        <v>44</v>
      </c>
      <c r="H14">
        <v>185</v>
      </c>
      <c r="I14" t="s">
        <v>21</v>
      </c>
      <c r="J14">
        <v>89</v>
      </c>
      <c r="K14" t="s">
        <v>45</v>
      </c>
      <c r="L14">
        <v>0</v>
      </c>
      <c r="M14" s="2">
        <v>41466</v>
      </c>
      <c r="N14" t="s">
        <v>18</v>
      </c>
      <c r="O14" t="s">
        <v>89</v>
      </c>
      <c r="P14" t="s">
        <v>106</v>
      </c>
      <c r="Q14" s="4">
        <f t="shared" si="0"/>
        <v>83.900226757369609</v>
      </c>
    </row>
    <row r="15" spans="1:17" x14ac:dyDescent="0.25">
      <c r="A15" t="s">
        <v>46</v>
      </c>
      <c r="B15">
        <v>28</v>
      </c>
      <c r="C15">
        <v>89</v>
      </c>
      <c r="D15">
        <v>90</v>
      </c>
      <c r="E15" s="1" t="s">
        <v>70</v>
      </c>
      <c r="F15">
        <v>192119</v>
      </c>
      <c r="G15" t="s">
        <v>47</v>
      </c>
      <c r="H15">
        <v>212</v>
      </c>
      <c r="I15" t="s">
        <v>16</v>
      </c>
      <c r="J15">
        <v>89</v>
      </c>
      <c r="K15" t="s">
        <v>24</v>
      </c>
      <c r="L15">
        <v>1</v>
      </c>
      <c r="M15" s="2">
        <v>43321</v>
      </c>
      <c r="N15" t="s">
        <v>18</v>
      </c>
      <c r="O15" t="s">
        <v>90</v>
      </c>
      <c r="P15" t="s">
        <v>103</v>
      </c>
      <c r="Q15" s="4">
        <f t="shared" si="0"/>
        <v>96.145124716553283</v>
      </c>
    </row>
    <row r="16" spans="1:17" x14ac:dyDescent="0.25">
      <c r="A16" t="s">
        <v>48</v>
      </c>
      <c r="B16">
        <v>34</v>
      </c>
      <c r="C16">
        <v>89</v>
      </c>
      <c r="D16">
        <v>89</v>
      </c>
      <c r="E16" s="1" t="s">
        <v>71</v>
      </c>
      <c r="F16">
        <v>167495</v>
      </c>
      <c r="G16" t="s">
        <v>40</v>
      </c>
      <c r="H16">
        <v>203</v>
      </c>
      <c r="I16" t="s">
        <v>21</v>
      </c>
      <c r="J16">
        <v>89</v>
      </c>
      <c r="K16" t="s">
        <v>24</v>
      </c>
      <c r="L16">
        <v>0</v>
      </c>
      <c r="M16" s="2">
        <v>40725</v>
      </c>
      <c r="N16" t="s">
        <v>18</v>
      </c>
      <c r="O16" t="s">
        <v>91</v>
      </c>
      <c r="P16" t="s">
        <v>98</v>
      </c>
      <c r="Q16" s="4">
        <f t="shared" si="0"/>
        <v>92.063492063492063</v>
      </c>
    </row>
    <row r="17" spans="1:17" x14ac:dyDescent="0.25">
      <c r="A17" t="s">
        <v>49</v>
      </c>
      <c r="B17">
        <v>32</v>
      </c>
      <c r="C17">
        <v>89</v>
      </c>
      <c r="D17">
        <v>89</v>
      </c>
      <c r="E17" s="1" t="s">
        <v>72</v>
      </c>
      <c r="F17">
        <v>165153</v>
      </c>
      <c r="G17" t="s">
        <v>44</v>
      </c>
      <c r="H17">
        <v>179</v>
      </c>
      <c r="I17" t="s">
        <v>21</v>
      </c>
      <c r="J17">
        <v>89</v>
      </c>
      <c r="K17" t="s">
        <v>50</v>
      </c>
      <c r="L17">
        <v>0</v>
      </c>
      <c r="M17" s="2">
        <v>40003</v>
      </c>
      <c r="N17" t="s">
        <v>18</v>
      </c>
      <c r="O17" t="s">
        <v>92</v>
      </c>
      <c r="P17" t="s">
        <v>107</v>
      </c>
      <c r="Q17" s="4">
        <f t="shared" si="0"/>
        <v>81.179138321995467</v>
      </c>
    </row>
    <row r="18" spans="1:17" x14ac:dyDescent="0.25">
      <c r="A18" t="s">
        <v>51</v>
      </c>
      <c r="B18">
        <v>34</v>
      </c>
      <c r="C18">
        <v>89</v>
      </c>
      <c r="D18">
        <v>89</v>
      </c>
      <c r="E18" s="1" t="s">
        <v>73</v>
      </c>
      <c r="F18">
        <v>155862</v>
      </c>
      <c r="G18" t="s">
        <v>32</v>
      </c>
      <c r="H18">
        <v>181</v>
      </c>
      <c r="I18" t="s">
        <v>21</v>
      </c>
      <c r="J18">
        <v>89</v>
      </c>
      <c r="K18" t="s">
        <v>41</v>
      </c>
      <c r="L18">
        <v>0</v>
      </c>
      <c r="M18" s="2">
        <v>38565</v>
      </c>
      <c r="N18" t="s">
        <v>18</v>
      </c>
      <c r="O18" t="s">
        <v>93</v>
      </c>
      <c r="P18" t="s">
        <v>108</v>
      </c>
      <c r="Q18" s="4">
        <f t="shared" si="0"/>
        <v>82.086167800453509</v>
      </c>
    </row>
    <row r="19" spans="1:17" x14ac:dyDescent="0.25">
      <c r="A19" t="s">
        <v>52</v>
      </c>
      <c r="B19">
        <v>32</v>
      </c>
      <c r="C19">
        <v>89</v>
      </c>
      <c r="D19">
        <v>89</v>
      </c>
      <c r="E19" s="1" t="s">
        <v>74</v>
      </c>
      <c r="F19">
        <v>153079</v>
      </c>
      <c r="G19" t="s">
        <v>53</v>
      </c>
      <c r="H19">
        <v>154</v>
      </c>
      <c r="I19" t="s">
        <v>21</v>
      </c>
      <c r="J19">
        <v>89</v>
      </c>
      <c r="K19" t="s">
        <v>22</v>
      </c>
      <c r="L19">
        <v>0</v>
      </c>
      <c r="M19" s="2">
        <v>40752</v>
      </c>
      <c r="N19" t="s">
        <v>18</v>
      </c>
      <c r="O19" t="s">
        <v>92</v>
      </c>
      <c r="P19" t="s">
        <v>108</v>
      </c>
      <c r="Q19" s="4">
        <f t="shared" si="0"/>
        <v>69.841269841269835</v>
      </c>
    </row>
    <row r="20" spans="1:17" x14ac:dyDescent="0.25">
      <c r="A20" t="s">
        <v>54</v>
      </c>
      <c r="B20">
        <v>29</v>
      </c>
      <c r="C20">
        <v>88</v>
      </c>
      <c r="D20">
        <v>88</v>
      </c>
      <c r="E20" s="1" t="s">
        <v>75</v>
      </c>
      <c r="F20">
        <v>215914</v>
      </c>
      <c r="G20" t="s">
        <v>55</v>
      </c>
      <c r="H20">
        <v>154</v>
      </c>
      <c r="I20" t="s">
        <v>21</v>
      </c>
      <c r="J20">
        <v>88</v>
      </c>
      <c r="K20" t="s">
        <v>45</v>
      </c>
      <c r="L20">
        <v>0</v>
      </c>
      <c r="M20" s="2">
        <v>42567</v>
      </c>
      <c r="N20" t="s">
        <v>18</v>
      </c>
      <c r="O20" t="s">
        <v>94</v>
      </c>
      <c r="P20" t="s">
        <v>109</v>
      </c>
      <c r="Q20" s="4">
        <f t="shared" si="0"/>
        <v>69.841269841269835</v>
      </c>
    </row>
    <row r="21" spans="1:17" x14ac:dyDescent="0.25">
      <c r="A21" t="s">
        <v>56</v>
      </c>
      <c r="B21">
        <v>25</v>
      </c>
      <c r="C21">
        <v>88</v>
      </c>
      <c r="D21">
        <v>90</v>
      </c>
      <c r="E21" s="1" t="s">
        <v>76</v>
      </c>
      <c r="F21">
        <v>212622</v>
      </c>
      <c r="G21" t="s">
        <v>29</v>
      </c>
      <c r="H21">
        <v>161</v>
      </c>
      <c r="I21" t="s">
        <v>21</v>
      </c>
      <c r="J21">
        <v>88</v>
      </c>
      <c r="K21" t="s">
        <v>45</v>
      </c>
      <c r="L21">
        <v>2</v>
      </c>
      <c r="M21" s="2">
        <v>42186</v>
      </c>
      <c r="N21" t="s">
        <v>18</v>
      </c>
      <c r="O21" t="s">
        <v>95</v>
      </c>
      <c r="P21" t="s">
        <v>110</v>
      </c>
      <c r="Q21" s="4">
        <f t="shared" si="0"/>
        <v>73.015873015873012</v>
      </c>
    </row>
    <row r="22" spans="1:17" x14ac:dyDescent="0.25">
      <c r="A22" t="s">
        <v>112</v>
      </c>
      <c r="B22">
        <v>26</v>
      </c>
      <c r="C22">
        <v>88</v>
      </c>
      <c r="D22">
        <v>89</v>
      </c>
      <c r="E22" s="1" t="s">
        <v>117</v>
      </c>
      <c r="F22">
        <v>211110</v>
      </c>
      <c r="G22" t="s">
        <v>34</v>
      </c>
      <c r="H22">
        <v>165</v>
      </c>
      <c r="I22" t="s">
        <v>16</v>
      </c>
      <c r="J22">
        <v>89</v>
      </c>
      <c r="K22" t="s">
        <v>27</v>
      </c>
      <c r="L22">
        <v>1</v>
      </c>
      <c r="M22" s="2">
        <v>42186</v>
      </c>
      <c r="N22" t="s">
        <v>18</v>
      </c>
      <c r="O22" t="s">
        <v>121</v>
      </c>
      <c r="P22" t="s">
        <v>109</v>
      </c>
      <c r="Q22" s="4">
        <f t="shared" si="0"/>
        <v>74.829931972789112</v>
      </c>
    </row>
    <row r="23" spans="1:17" x14ac:dyDescent="0.25">
      <c r="A23" t="s">
        <v>113</v>
      </c>
      <c r="B23">
        <v>26</v>
      </c>
      <c r="C23">
        <v>88</v>
      </c>
      <c r="D23">
        <v>91</v>
      </c>
      <c r="E23" s="1" t="s">
        <v>118</v>
      </c>
      <c r="F23">
        <v>210257</v>
      </c>
      <c r="G23" t="s">
        <v>20</v>
      </c>
      <c r="H23">
        <v>190</v>
      </c>
      <c r="I23" t="s">
        <v>16</v>
      </c>
      <c r="J23">
        <v>88</v>
      </c>
      <c r="K23" t="s">
        <v>24</v>
      </c>
      <c r="L23">
        <v>3</v>
      </c>
      <c r="M23" s="2">
        <v>42917</v>
      </c>
      <c r="N23" t="s">
        <v>18</v>
      </c>
      <c r="O23" t="s">
        <v>122</v>
      </c>
      <c r="P23" t="s">
        <v>125</v>
      </c>
      <c r="Q23" s="4">
        <f t="shared" si="0"/>
        <v>86.167800453514729</v>
      </c>
    </row>
    <row r="24" spans="1:17" x14ac:dyDescent="0.25">
      <c r="A24" t="s">
        <v>114</v>
      </c>
      <c r="B24">
        <v>25</v>
      </c>
      <c r="C24">
        <v>88</v>
      </c>
      <c r="D24">
        <v>90</v>
      </c>
      <c r="E24" s="1" t="s">
        <v>60</v>
      </c>
      <c r="F24">
        <v>202652</v>
      </c>
      <c r="G24" t="s">
        <v>15</v>
      </c>
      <c r="H24">
        <v>152</v>
      </c>
      <c r="I24" t="s">
        <v>21</v>
      </c>
      <c r="J24">
        <v>88</v>
      </c>
      <c r="K24" t="s">
        <v>30</v>
      </c>
      <c r="L24">
        <v>2</v>
      </c>
      <c r="M24" s="2">
        <v>42199</v>
      </c>
      <c r="N24" t="s">
        <v>18</v>
      </c>
      <c r="O24" t="s">
        <v>123</v>
      </c>
      <c r="P24" t="s">
        <v>100</v>
      </c>
      <c r="Q24" s="4">
        <f t="shared" si="0"/>
        <v>68.934240362811792</v>
      </c>
    </row>
    <row r="25" spans="1:17" x14ac:dyDescent="0.25">
      <c r="A25" t="s">
        <v>115</v>
      </c>
      <c r="B25">
        <v>26</v>
      </c>
      <c r="C25">
        <v>88</v>
      </c>
      <c r="D25">
        <v>89</v>
      </c>
      <c r="E25" s="1" t="s">
        <v>119</v>
      </c>
      <c r="F25">
        <v>202126</v>
      </c>
      <c r="G25" t="s">
        <v>20</v>
      </c>
      <c r="H25">
        <v>196</v>
      </c>
      <c r="I25" t="s">
        <v>21</v>
      </c>
      <c r="J25">
        <v>88</v>
      </c>
      <c r="K25" t="s">
        <v>22</v>
      </c>
      <c r="L25">
        <v>1</v>
      </c>
      <c r="M25" s="2">
        <v>40360</v>
      </c>
      <c r="N25" t="s">
        <v>18</v>
      </c>
      <c r="O25" t="s">
        <v>121</v>
      </c>
      <c r="P25" t="s">
        <v>97</v>
      </c>
      <c r="Q25" s="4">
        <f t="shared" si="0"/>
        <v>88.888888888888886</v>
      </c>
    </row>
    <row r="26" spans="1:17" x14ac:dyDescent="0.25">
      <c r="A26" t="s">
        <v>116</v>
      </c>
      <c r="B26">
        <v>29</v>
      </c>
      <c r="C26">
        <v>88</v>
      </c>
      <c r="D26">
        <v>88</v>
      </c>
      <c r="E26" s="1" t="s">
        <v>120</v>
      </c>
      <c r="F26">
        <v>201024</v>
      </c>
      <c r="G26" t="s">
        <v>20</v>
      </c>
      <c r="H26">
        <v>196</v>
      </c>
      <c r="I26" t="s">
        <v>21</v>
      </c>
      <c r="J26">
        <v>88</v>
      </c>
      <c r="K26" t="s">
        <v>41</v>
      </c>
      <c r="L26">
        <v>0</v>
      </c>
      <c r="M26" s="2">
        <v>41821</v>
      </c>
      <c r="N26" t="s">
        <v>18</v>
      </c>
      <c r="O26" t="s">
        <v>124</v>
      </c>
      <c r="P26" t="s">
        <v>126</v>
      </c>
      <c r="Q26" s="4">
        <f t="shared" si="0"/>
        <v>88.888888888888886</v>
      </c>
    </row>
    <row r="27" spans="1:17" x14ac:dyDescent="0.25">
      <c r="A27" t="s">
        <v>244</v>
      </c>
      <c r="B27">
        <v>29</v>
      </c>
      <c r="C27">
        <v>88</v>
      </c>
      <c r="D27">
        <v>88</v>
      </c>
      <c r="E27" s="1" t="s">
        <v>251</v>
      </c>
      <c r="F27">
        <v>183277</v>
      </c>
      <c r="G27" t="s">
        <v>29</v>
      </c>
      <c r="H27">
        <v>163</v>
      </c>
      <c r="I27" t="s">
        <v>21</v>
      </c>
      <c r="J27">
        <v>88</v>
      </c>
      <c r="K27" t="s">
        <v>30</v>
      </c>
      <c r="L27">
        <v>0</v>
      </c>
      <c r="M27" s="2">
        <v>43647</v>
      </c>
      <c r="N27" t="s">
        <v>18</v>
      </c>
      <c r="O27" t="s">
        <v>256</v>
      </c>
      <c r="P27" t="s">
        <v>107</v>
      </c>
      <c r="Q27" s="4">
        <f t="shared" si="0"/>
        <v>73.922902494331069</v>
      </c>
    </row>
    <row r="28" spans="1:17" x14ac:dyDescent="0.25">
      <c r="A28" t="s">
        <v>245</v>
      </c>
      <c r="B28">
        <v>30</v>
      </c>
      <c r="C28">
        <v>88</v>
      </c>
      <c r="D28">
        <v>88</v>
      </c>
      <c r="E28" s="1" t="s">
        <v>252</v>
      </c>
      <c r="F28">
        <v>182521</v>
      </c>
      <c r="G28" t="s">
        <v>32</v>
      </c>
      <c r="H28">
        <v>168</v>
      </c>
      <c r="I28" t="s">
        <v>21</v>
      </c>
      <c r="J28">
        <v>88</v>
      </c>
      <c r="K28" t="s">
        <v>246</v>
      </c>
      <c r="L28">
        <v>0</v>
      </c>
      <c r="M28" s="2">
        <v>41837</v>
      </c>
      <c r="N28" t="s">
        <v>18</v>
      </c>
      <c r="O28" t="s">
        <v>257</v>
      </c>
      <c r="P28" t="s">
        <v>106</v>
      </c>
      <c r="Q28" s="4">
        <f t="shared" si="0"/>
        <v>76.19047619047619</v>
      </c>
    </row>
    <row r="29" spans="1:17" x14ac:dyDescent="0.25">
      <c r="A29" t="s">
        <v>247</v>
      </c>
      <c r="B29">
        <v>35</v>
      </c>
      <c r="C29">
        <v>88</v>
      </c>
      <c r="D29">
        <v>88</v>
      </c>
      <c r="E29" s="1" t="s">
        <v>253</v>
      </c>
      <c r="F29">
        <v>162835</v>
      </c>
      <c r="G29" t="s">
        <v>40</v>
      </c>
      <c r="H29">
        <v>203</v>
      </c>
      <c r="I29" t="s">
        <v>21</v>
      </c>
      <c r="J29">
        <v>88</v>
      </c>
      <c r="K29" t="s">
        <v>24</v>
      </c>
      <c r="L29">
        <v>0</v>
      </c>
      <c r="M29" s="2">
        <v>41091</v>
      </c>
      <c r="N29" t="s">
        <v>18</v>
      </c>
      <c r="O29" t="s">
        <v>258</v>
      </c>
      <c r="P29" t="s">
        <v>260</v>
      </c>
      <c r="Q29" s="4">
        <f t="shared" si="0"/>
        <v>92.063492063492063</v>
      </c>
    </row>
    <row r="30" spans="1:17" x14ac:dyDescent="0.25">
      <c r="A30" t="s">
        <v>248</v>
      </c>
      <c r="B30">
        <v>20</v>
      </c>
      <c r="C30">
        <v>87</v>
      </c>
      <c r="D30">
        <v>93</v>
      </c>
      <c r="E30" s="1" t="s">
        <v>254</v>
      </c>
      <c r="F30">
        <v>233049</v>
      </c>
      <c r="G30" t="s">
        <v>26</v>
      </c>
      <c r="H30">
        <v>168</v>
      </c>
      <c r="I30" t="s">
        <v>21</v>
      </c>
      <c r="J30">
        <v>89</v>
      </c>
      <c r="K30" t="s">
        <v>27</v>
      </c>
      <c r="L30">
        <v>6</v>
      </c>
      <c r="M30" s="2">
        <v>42978</v>
      </c>
      <c r="N30" t="s">
        <v>18</v>
      </c>
      <c r="O30" t="s">
        <v>88</v>
      </c>
      <c r="P30" t="s">
        <v>261</v>
      </c>
      <c r="Q30" s="4">
        <f t="shared" si="0"/>
        <v>76.19047619047619</v>
      </c>
    </row>
    <row r="31" spans="1:17" x14ac:dyDescent="0.25">
      <c r="A31" t="s">
        <v>249</v>
      </c>
      <c r="B31">
        <v>21</v>
      </c>
      <c r="C31">
        <v>87</v>
      </c>
      <c r="D31">
        <v>92</v>
      </c>
      <c r="E31" s="1" t="s">
        <v>255</v>
      </c>
      <c r="F31">
        <v>231281</v>
      </c>
      <c r="G31" t="s">
        <v>26</v>
      </c>
      <c r="H31">
        <v>152</v>
      </c>
      <c r="I31" t="s">
        <v>21</v>
      </c>
      <c r="J31">
        <v>87</v>
      </c>
      <c r="K31" t="s">
        <v>250</v>
      </c>
      <c r="L31">
        <v>5</v>
      </c>
      <c r="M31" s="2">
        <v>42284</v>
      </c>
      <c r="N31" t="s">
        <v>18</v>
      </c>
      <c r="O31" t="s">
        <v>259</v>
      </c>
      <c r="P31" t="s">
        <v>262</v>
      </c>
      <c r="Q31" s="4">
        <f t="shared" si="0"/>
        <v>68.934240362811792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9F55F-C4CE-44CC-A933-31E9659CBE20}">
  <dimension ref="A3:B16"/>
  <sheetViews>
    <sheetView workbookViewId="0">
      <selection activeCell="B5" sqref="B5"/>
    </sheetView>
  </sheetViews>
  <sheetFormatPr defaultRowHeight="15" x14ac:dyDescent="0.25"/>
  <cols>
    <col min="1" max="1" width="14.5703125" bestFit="1" customWidth="1"/>
    <col min="2" max="2" width="12.140625" bestFit="1" customWidth="1"/>
  </cols>
  <sheetData>
    <row r="3" spans="1:2" x14ac:dyDescent="0.25">
      <c r="A3" s="15" t="s">
        <v>240</v>
      </c>
      <c r="B3" t="s">
        <v>239</v>
      </c>
    </row>
    <row r="4" spans="1:2" x14ac:dyDescent="0.25">
      <c r="A4" s="16" t="s">
        <v>177</v>
      </c>
      <c r="B4" s="14">
        <v>7088.1939999999995</v>
      </c>
    </row>
    <row r="5" spans="1:2" x14ac:dyDescent="0.25">
      <c r="A5" s="16" t="s">
        <v>154</v>
      </c>
      <c r="B5" s="14">
        <v>18991.720000000005</v>
      </c>
    </row>
    <row r="6" spans="1:2" x14ac:dyDescent="0.25">
      <c r="A6" s="16" t="s">
        <v>170</v>
      </c>
      <c r="B6" s="14">
        <v>23540.201000000001</v>
      </c>
    </row>
    <row r="7" spans="1:2" x14ac:dyDescent="0.25">
      <c r="A7" s="16" t="s">
        <v>243</v>
      </c>
      <c r="B7" s="14">
        <v>1266.6599999999999</v>
      </c>
    </row>
    <row r="8" spans="1:2" x14ac:dyDescent="0.25">
      <c r="A8" s="16" t="s">
        <v>241</v>
      </c>
      <c r="B8" s="14">
        <v>50886.775000000009</v>
      </c>
    </row>
    <row r="11" spans="1:2" x14ac:dyDescent="0.25">
      <c r="A11" s="15" t="s">
        <v>240</v>
      </c>
      <c r="B11" t="s">
        <v>242</v>
      </c>
    </row>
    <row r="12" spans="1:2" x14ac:dyDescent="0.25">
      <c r="A12" s="16" t="s">
        <v>161</v>
      </c>
      <c r="B12" s="3">
        <v>555.58749999999986</v>
      </c>
    </row>
    <row r="13" spans="1:2" x14ac:dyDescent="0.25">
      <c r="A13" s="16" t="s">
        <v>169</v>
      </c>
      <c r="B13" s="3">
        <v>327.94099999999992</v>
      </c>
    </row>
    <row r="14" spans="1:2" x14ac:dyDescent="0.25">
      <c r="A14" s="16" t="s">
        <v>188</v>
      </c>
      <c r="B14" s="3">
        <v>582.529</v>
      </c>
    </row>
    <row r="15" spans="1:2" x14ac:dyDescent="0.25">
      <c r="A15" s="16" t="s">
        <v>153</v>
      </c>
      <c r="B15" s="3">
        <v>-82.495000000000005</v>
      </c>
    </row>
    <row r="16" spans="1:2" x14ac:dyDescent="0.25">
      <c r="A16" s="16" t="s">
        <v>241</v>
      </c>
      <c r="B16" s="3">
        <v>1383.5625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6B309-C1F3-46E9-8E66-C406C7AFF54E}">
  <sheetPr codeName="Sheet5"/>
  <dimension ref="A1:U40"/>
  <sheetViews>
    <sheetView workbookViewId="0">
      <selection activeCell="D38" sqref="D38"/>
    </sheetView>
  </sheetViews>
  <sheetFormatPr defaultRowHeight="15" x14ac:dyDescent="0.25"/>
  <cols>
    <col min="3" max="3" width="11.28515625" bestFit="1" customWidth="1"/>
  </cols>
  <sheetData>
    <row r="1" spans="1:21" x14ac:dyDescent="0.25">
      <c r="A1" s="5" t="s">
        <v>128</v>
      </c>
      <c r="B1" s="5" t="s">
        <v>129</v>
      </c>
      <c r="C1" s="6" t="s">
        <v>130</v>
      </c>
      <c r="D1" s="6" t="s">
        <v>131</v>
      </c>
      <c r="E1" s="6" t="s">
        <v>132</v>
      </c>
      <c r="F1" s="6" t="s">
        <v>133</v>
      </c>
      <c r="G1" s="6" t="s">
        <v>134</v>
      </c>
      <c r="H1" s="6" t="s">
        <v>135</v>
      </c>
      <c r="I1" s="7" t="s">
        <v>136</v>
      </c>
      <c r="J1" s="8" t="s">
        <v>137</v>
      </c>
      <c r="K1" s="8" t="s">
        <v>138</v>
      </c>
      <c r="L1" s="6" t="s">
        <v>139</v>
      </c>
      <c r="M1" s="6" t="s">
        <v>140</v>
      </c>
      <c r="N1" s="6" t="s">
        <v>141</v>
      </c>
      <c r="O1" s="6" t="s">
        <v>142</v>
      </c>
      <c r="P1" s="6" t="s">
        <v>143</v>
      </c>
      <c r="Q1" s="6" t="s">
        <v>144</v>
      </c>
      <c r="R1" s="6" t="s">
        <v>145</v>
      </c>
      <c r="S1" s="6" t="s">
        <v>146</v>
      </c>
      <c r="T1" s="6" t="s">
        <v>147</v>
      </c>
      <c r="U1" s="6" t="s">
        <v>148</v>
      </c>
    </row>
    <row r="2" spans="1:21" x14ac:dyDescent="0.25">
      <c r="A2" s="9">
        <v>1</v>
      </c>
      <c r="B2" s="9">
        <v>3</v>
      </c>
      <c r="C2" s="10">
        <f>DATE(2012,12,31)-810</f>
        <v>40464</v>
      </c>
      <c r="D2" s="9" t="s">
        <v>149</v>
      </c>
      <c r="E2" s="9">
        <v>6</v>
      </c>
      <c r="F2" s="9">
        <v>261.54000000000002</v>
      </c>
      <c r="G2" s="9">
        <v>0.04</v>
      </c>
      <c r="H2" s="9" t="s">
        <v>150</v>
      </c>
      <c r="I2" s="11">
        <v>-213.25</v>
      </c>
      <c r="J2" s="12">
        <v>38.94</v>
      </c>
      <c r="K2" s="12">
        <v>35</v>
      </c>
      <c r="L2" s="9" t="s">
        <v>151</v>
      </c>
      <c r="M2" s="9" t="s">
        <v>152</v>
      </c>
      <c r="N2" s="9" t="s">
        <v>152</v>
      </c>
      <c r="O2" s="9" t="s">
        <v>153</v>
      </c>
      <c r="P2" s="9" t="s">
        <v>154</v>
      </c>
      <c r="Q2" s="9" t="s">
        <v>155</v>
      </c>
      <c r="R2" s="9" t="s">
        <v>156</v>
      </c>
      <c r="S2" s="9" t="s">
        <v>157</v>
      </c>
      <c r="T2" s="9">
        <v>0.8</v>
      </c>
      <c r="U2" s="13">
        <f>C2+7</f>
        <v>40471</v>
      </c>
    </row>
    <row r="3" spans="1:21" x14ac:dyDescent="0.25">
      <c r="A3" s="9">
        <v>49</v>
      </c>
      <c r="B3" s="9">
        <v>293</v>
      </c>
      <c r="C3" s="10">
        <f>DATE(2012,12,31)-91</f>
        <v>41183</v>
      </c>
      <c r="D3" s="9" t="s">
        <v>158</v>
      </c>
      <c r="E3" s="9">
        <v>49</v>
      </c>
      <c r="F3" s="9">
        <v>10123.02</v>
      </c>
      <c r="G3" s="9">
        <v>7.0000000000000007E-2</v>
      </c>
      <c r="H3" s="9" t="s">
        <v>159</v>
      </c>
      <c r="I3" s="11">
        <v>457.81</v>
      </c>
      <c r="J3" s="12">
        <v>208.16</v>
      </c>
      <c r="K3" s="12">
        <v>68.02</v>
      </c>
      <c r="L3" s="9" t="s">
        <v>160</v>
      </c>
      <c r="M3" s="9" t="s">
        <v>152</v>
      </c>
      <c r="N3" s="9" t="s">
        <v>152</v>
      </c>
      <c r="O3" s="9" t="s">
        <v>161</v>
      </c>
      <c r="P3" s="9" t="s">
        <v>154</v>
      </c>
      <c r="Q3" s="9" t="s">
        <v>162</v>
      </c>
      <c r="R3" s="9" t="s">
        <v>163</v>
      </c>
      <c r="S3" s="9" t="s">
        <v>164</v>
      </c>
      <c r="T3" s="9">
        <v>0.57999999999999996</v>
      </c>
      <c r="U3" s="13">
        <f>C3+1</f>
        <v>41184</v>
      </c>
    </row>
    <row r="4" spans="1:21" x14ac:dyDescent="0.25">
      <c r="A4" s="9">
        <v>50</v>
      </c>
      <c r="B4" s="9">
        <v>293</v>
      </c>
      <c r="C4" s="10">
        <f>DATE(2012,12,31)-91</f>
        <v>41183</v>
      </c>
      <c r="D4" s="9" t="s">
        <v>158</v>
      </c>
      <c r="E4" s="9">
        <v>27</v>
      </c>
      <c r="F4" s="9">
        <v>244.57</v>
      </c>
      <c r="G4" s="9">
        <v>0.01</v>
      </c>
      <c r="H4" s="9" t="s">
        <v>150</v>
      </c>
      <c r="I4" s="11">
        <v>46.707500000000003</v>
      </c>
      <c r="J4" s="12">
        <v>8.69</v>
      </c>
      <c r="K4" s="12">
        <v>2.99</v>
      </c>
      <c r="L4" s="9" t="s">
        <v>160</v>
      </c>
      <c r="M4" s="9" t="s">
        <v>152</v>
      </c>
      <c r="N4" s="9" t="s">
        <v>152</v>
      </c>
      <c r="O4" s="9" t="s">
        <v>161</v>
      </c>
      <c r="P4" s="9" t="s">
        <v>154</v>
      </c>
      <c r="Q4" s="9" t="s">
        <v>165</v>
      </c>
      <c r="R4" s="9" t="s">
        <v>166</v>
      </c>
      <c r="S4" s="9" t="s">
        <v>167</v>
      </c>
      <c r="T4" s="9">
        <v>0.39</v>
      </c>
      <c r="U4" s="13">
        <f>C4+2</f>
        <v>41185</v>
      </c>
    </row>
    <row r="5" spans="1:21" x14ac:dyDescent="0.25">
      <c r="A5" s="9">
        <v>80</v>
      </c>
      <c r="B5" s="9">
        <v>483</v>
      </c>
      <c r="C5" s="10">
        <f>DATE(2012,12,31)-540</f>
        <v>40734</v>
      </c>
      <c r="D5" s="9" t="s">
        <v>158</v>
      </c>
      <c r="E5" s="9">
        <v>30</v>
      </c>
      <c r="F5" s="9">
        <v>4965.7594999999992</v>
      </c>
      <c r="G5" s="9">
        <v>0.08</v>
      </c>
      <c r="H5" s="9" t="s">
        <v>150</v>
      </c>
      <c r="I5" s="11">
        <v>1198.971</v>
      </c>
      <c r="J5" s="12">
        <v>195.99</v>
      </c>
      <c r="K5" s="12">
        <v>3.99</v>
      </c>
      <c r="L5" s="9" t="s">
        <v>168</v>
      </c>
      <c r="M5" s="9" t="s">
        <v>152</v>
      </c>
      <c r="N5" s="9" t="s">
        <v>152</v>
      </c>
      <c r="O5" s="9" t="s">
        <v>169</v>
      </c>
      <c r="P5" s="9" t="s">
        <v>170</v>
      </c>
      <c r="Q5" s="9" t="s">
        <v>171</v>
      </c>
      <c r="R5" s="9" t="s">
        <v>172</v>
      </c>
      <c r="S5" s="9" t="s">
        <v>167</v>
      </c>
      <c r="T5" s="9">
        <v>0.57999999999999996</v>
      </c>
      <c r="U5" s="13">
        <f>C5+2</f>
        <v>40736</v>
      </c>
    </row>
    <row r="6" spans="1:21" x14ac:dyDescent="0.25">
      <c r="A6" s="9">
        <v>85</v>
      </c>
      <c r="B6" s="9">
        <v>515</v>
      </c>
      <c r="C6" s="10">
        <f>DATE(2012,12,31)-856</f>
        <v>40418</v>
      </c>
      <c r="D6" s="9" t="s">
        <v>173</v>
      </c>
      <c r="E6" s="9">
        <v>19</v>
      </c>
      <c r="F6" s="9">
        <v>394.27</v>
      </c>
      <c r="G6" s="9">
        <v>0.08</v>
      </c>
      <c r="H6" s="9" t="s">
        <v>150</v>
      </c>
      <c r="I6" s="11">
        <v>30.94</v>
      </c>
      <c r="J6" s="12">
        <v>21.78</v>
      </c>
      <c r="K6" s="12">
        <v>5.94</v>
      </c>
      <c r="L6" s="9" t="s">
        <v>174</v>
      </c>
      <c r="M6" s="9" t="s">
        <v>152</v>
      </c>
      <c r="N6" s="9" t="s">
        <v>152</v>
      </c>
      <c r="O6" s="9" t="s">
        <v>161</v>
      </c>
      <c r="P6" s="9" t="s">
        <v>154</v>
      </c>
      <c r="Q6" s="9" t="s">
        <v>162</v>
      </c>
      <c r="R6" s="9" t="s">
        <v>175</v>
      </c>
      <c r="S6" s="9" t="s">
        <v>176</v>
      </c>
      <c r="T6" s="9">
        <v>0.5</v>
      </c>
      <c r="U6" s="13">
        <f>C6+2</f>
        <v>40420</v>
      </c>
    </row>
    <row r="7" spans="1:21" x14ac:dyDescent="0.25">
      <c r="A7" s="9">
        <v>86</v>
      </c>
      <c r="B7" s="9">
        <v>515</v>
      </c>
      <c r="C7" s="10">
        <f>DATE(2012,12,31)-856</f>
        <v>40418</v>
      </c>
      <c r="D7" s="9" t="s">
        <v>173</v>
      </c>
      <c r="E7" s="9">
        <v>21</v>
      </c>
      <c r="F7" s="9">
        <v>146.69</v>
      </c>
      <c r="G7" s="9">
        <v>0.05</v>
      </c>
      <c r="H7" s="9" t="s">
        <v>150</v>
      </c>
      <c r="I7" s="11">
        <v>4.43</v>
      </c>
      <c r="J7" s="12">
        <v>6.64</v>
      </c>
      <c r="K7" s="12">
        <v>4.95</v>
      </c>
      <c r="L7" s="9" t="s">
        <v>174</v>
      </c>
      <c r="M7" s="9" t="s">
        <v>152</v>
      </c>
      <c r="N7" s="9" t="s">
        <v>152</v>
      </c>
      <c r="O7" s="9" t="s">
        <v>161</v>
      </c>
      <c r="P7" s="9" t="s">
        <v>177</v>
      </c>
      <c r="Q7" s="9" t="s">
        <v>178</v>
      </c>
      <c r="R7" s="9" t="s">
        <v>179</v>
      </c>
      <c r="S7" s="9" t="s">
        <v>180</v>
      </c>
      <c r="T7" s="9">
        <v>0.37</v>
      </c>
      <c r="U7" s="13">
        <f>C7+2</f>
        <v>40420</v>
      </c>
    </row>
    <row r="8" spans="1:21" x14ac:dyDescent="0.25">
      <c r="A8" s="9">
        <v>97</v>
      </c>
      <c r="B8" s="9">
        <v>613</v>
      </c>
      <c r="C8" s="10">
        <f>DATE(2012,12,31)-563</f>
        <v>40711</v>
      </c>
      <c r="D8" s="9" t="s">
        <v>158</v>
      </c>
      <c r="E8" s="9">
        <v>12</v>
      </c>
      <c r="F8" s="9">
        <v>93.54</v>
      </c>
      <c r="G8" s="9">
        <v>0.03</v>
      </c>
      <c r="H8" s="9" t="s">
        <v>150</v>
      </c>
      <c r="I8" s="11">
        <v>-54.038499999999999</v>
      </c>
      <c r="J8" s="12">
        <v>7.3</v>
      </c>
      <c r="K8" s="12">
        <v>7.72</v>
      </c>
      <c r="L8" s="9" t="s">
        <v>181</v>
      </c>
      <c r="M8" s="9" t="s">
        <v>152</v>
      </c>
      <c r="N8" s="9" t="s">
        <v>152</v>
      </c>
      <c r="O8" s="9" t="s">
        <v>169</v>
      </c>
      <c r="P8" s="9" t="s">
        <v>154</v>
      </c>
      <c r="Q8" s="9" t="s">
        <v>165</v>
      </c>
      <c r="R8" s="9" t="s">
        <v>182</v>
      </c>
      <c r="S8" s="9" t="s">
        <v>167</v>
      </c>
      <c r="T8" s="9">
        <v>0.38</v>
      </c>
      <c r="U8" s="13">
        <f>C8+0</f>
        <v>40711</v>
      </c>
    </row>
    <row r="9" spans="1:21" x14ac:dyDescent="0.25">
      <c r="A9" s="9">
        <v>98</v>
      </c>
      <c r="B9" s="9">
        <v>613</v>
      </c>
      <c r="C9" s="10">
        <f>DATE(2012,12,31)-563</f>
        <v>40711</v>
      </c>
      <c r="D9" s="9" t="s">
        <v>158</v>
      </c>
      <c r="E9" s="9">
        <v>22</v>
      </c>
      <c r="F9" s="9">
        <v>905.08</v>
      </c>
      <c r="G9" s="9">
        <v>0.09</v>
      </c>
      <c r="H9" s="9" t="s">
        <v>150</v>
      </c>
      <c r="I9" s="11">
        <v>127.7</v>
      </c>
      <c r="J9" s="12">
        <v>42.76</v>
      </c>
      <c r="K9" s="12">
        <v>6.22</v>
      </c>
      <c r="L9" s="9" t="s">
        <v>181</v>
      </c>
      <c r="M9" s="9" t="s">
        <v>152</v>
      </c>
      <c r="N9" s="9" t="s">
        <v>152</v>
      </c>
      <c r="O9" s="9" t="s">
        <v>169</v>
      </c>
      <c r="P9" s="9" t="s">
        <v>154</v>
      </c>
      <c r="Q9" s="9" t="s">
        <v>155</v>
      </c>
      <c r="R9" s="9" t="s">
        <v>183</v>
      </c>
      <c r="S9" s="9" t="s">
        <v>167</v>
      </c>
      <c r="T9" s="9">
        <v>0.43</v>
      </c>
      <c r="U9" s="13">
        <f>C9+1</f>
        <v>40712</v>
      </c>
    </row>
    <row r="10" spans="1:21" x14ac:dyDescent="0.25">
      <c r="A10" s="9">
        <v>103</v>
      </c>
      <c r="B10" s="9">
        <v>643</v>
      </c>
      <c r="C10" s="10">
        <f>DATE(2012,12,31)-648</f>
        <v>40626</v>
      </c>
      <c r="D10" s="9" t="s">
        <v>158</v>
      </c>
      <c r="E10" s="9">
        <v>21</v>
      </c>
      <c r="F10" s="9">
        <v>2781.82</v>
      </c>
      <c r="G10" s="9">
        <v>7.0000000000000007E-2</v>
      </c>
      <c r="H10" s="9" t="s">
        <v>184</v>
      </c>
      <c r="I10" s="11">
        <v>-695.26</v>
      </c>
      <c r="J10" s="12">
        <v>138.13999999999999</v>
      </c>
      <c r="K10" s="12">
        <v>35</v>
      </c>
      <c r="L10" s="9" t="s">
        <v>185</v>
      </c>
      <c r="M10" s="9" t="s">
        <v>152</v>
      </c>
      <c r="N10" s="9" t="s">
        <v>152</v>
      </c>
      <c r="O10" s="9" t="s">
        <v>169</v>
      </c>
      <c r="P10" s="9" t="s">
        <v>154</v>
      </c>
      <c r="Q10" s="9" t="s">
        <v>155</v>
      </c>
      <c r="R10" s="9" t="s">
        <v>186</v>
      </c>
      <c r="S10" s="9" t="s">
        <v>157</v>
      </c>
      <c r="T10" s="9">
        <v>0.54</v>
      </c>
      <c r="U10" s="13">
        <f>C10+1</f>
        <v>40627</v>
      </c>
    </row>
    <row r="11" spans="1:21" x14ac:dyDescent="0.25">
      <c r="A11" s="9">
        <v>107</v>
      </c>
      <c r="B11" s="9">
        <v>678</v>
      </c>
      <c r="C11" s="10">
        <f>DATE(2012,12,31)-1039</f>
        <v>40235</v>
      </c>
      <c r="D11" s="9" t="s">
        <v>149</v>
      </c>
      <c r="E11" s="9">
        <v>44</v>
      </c>
      <c r="F11" s="9">
        <v>228.41</v>
      </c>
      <c r="G11" s="9">
        <v>7.0000000000000007E-2</v>
      </c>
      <c r="H11" s="9" t="s">
        <v>150</v>
      </c>
      <c r="I11" s="11">
        <v>-226.36</v>
      </c>
      <c r="J11" s="12">
        <v>4.9800000000000004</v>
      </c>
      <c r="K11" s="12">
        <v>8.33</v>
      </c>
      <c r="L11" s="9" t="s">
        <v>187</v>
      </c>
      <c r="M11" s="9" t="s">
        <v>152</v>
      </c>
      <c r="N11" s="9" t="s">
        <v>152</v>
      </c>
      <c r="O11" s="9" t="s">
        <v>188</v>
      </c>
      <c r="P11" s="9" t="s">
        <v>154</v>
      </c>
      <c r="Q11" s="9" t="s">
        <v>189</v>
      </c>
      <c r="R11" s="9" t="s">
        <v>190</v>
      </c>
      <c r="S11" s="9" t="s">
        <v>167</v>
      </c>
      <c r="T11" s="9">
        <v>0.38</v>
      </c>
      <c r="U11" s="13">
        <f>C11+0</f>
        <v>40235</v>
      </c>
    </row>
    <row r="12" spans="1:21" x14ac:dyDescent="0.25">
      <c r="A12" s="9">
        <v>127</v>
      </c>
      <c r="B12" s="9">
        <v>807</v>
      </c>
      <c r="C12" s="10">
        <f>DATE(2012,12,31)-769</f>
        <v>40505</v>
      </c>
      <c r="D12" s="9" t="s">
        <v>191</v>
      </c>
      <c r="E12" s="9">
        <v>45</v>
      </c>
      <c r="F12" s="9">
        <v>196.85</v>
      </c>
      <c r="G12" s="9">
        <v>0.01</v>
      </c>
      <c r="H12" s="9" t="s">
        <v>150</v>
      </c>
      <c r="I12" s="11">
        <v>-166.85</v>
      </c>
      <c r="J12" s="12">
        <v>4.28</v>
      </c>
      <c r="K12" s="12">
        <v>6.18</v>
      </c>
      <c r="L12" s="9" t="s">
        <v>192</v>
      </c>
      <c r="M12" s="9" t="s">
        <v>152</v>
      </c>
      <c r="N12" s="9" t="s">
        <v>152</v>
      </c>
      <c r="O12" s="9" t="s">
        <v>188</v>
      </c>
      <c r="P12" s="9" t="s">
        <v>154</v>
      </c>
      <c r="Q12" s="9" t="s">
        <v>189</v>
      </c>
      <c r="R12" s="9" t="s">
        <v>193</v>
      </c>
      <c r="S12" s="9" t="s">
        <v>167</v>
      </c>
      <c r="T12" s="9">
        <v>0.4</v>
      </c>
      <c r="U12" s="13">
        <f>C12+1</f>
        <v>40506</v>
      </c>
    </row>
    <row r="13" spans="1:21" x14ac:dyDescent="0.25">
      <c r="A13" s="9">
        <v>128</v>
      </c>
      <c r="B13" s="9">
        <v>807</v>
      </c>
      <c r="C13" s="10">
        <f>DATE(2012,12,31)-769</f>
        <v>40505</v>
      </c>
      <c r="D13" s="9" t="s">
        <v>191</v>
      </c>
      <c r="E13" s="9">
        <v>32</v>
      </c>
      <c r="F13" s="9">
        <v>124.56</v>
      </c>
      <c r="G13" s="9">
        <v>0.04</v>
      </c>
      <c r="H13" s="9" t="s">
        <v>150</v>
      </c>
      <c r="I13" s="11">
        <v>-14.33</v>
      </c>
      <c r="J13" s="12">
        <v>3.95</v>
      </c>
      <c r="K13" s="12">
        <v>2</v>
      </c>
      <c r="L13" s="9" t="s">
        <v>192</v>
      </c>
      <c r="M13" s="9" t="s">
        <v>152</v>
      </c>
      <c r="N13" s="9" t="s">
        <v>152</v>
      </c>
      <c r="O13" s="9" t="s">
        <v>188</v>
      </c>
      <c r="P13" s="9" t="s">
        <v>154</v>
      </c>
      <c r="Q13" s="9" t="s">
        <v>194</v>
      </c>
      <c r="R13" s="9" t="s">
        <v>195</v>
      </c>
      <c r="S13" s="9" t="s">
        <v>196</v>
      </c>
      <c r="T13" s="9">
        <v>0.53</v>
      </c>
      <c r="U13" s="13">
        <f>C13+1</f>
        <v>40506</v>
      </c>
    </row>
    <row r="14" spans="1:21" x14ac:dyDescent="0.25">
      <c r="A14" s="9">
        <v>134</v>
      </c>
      <c r="B14" s="9">
        <v>868</v>
      </c>
      <c r="C14" s="10">
        <f>DATE(2012,12,31)-206</f>
        <v>41068</v>
      </c>
      <c r="D14" s="9" t="s">
        <v>173</v>
      </c>
      <c r="E14" s="9">
        <v>32</v>
      </c>
      <c r="F14" s="9">
        <v>716.84</v>
      </c>
      <c r="G14" s="9">
        <v>0</v>
      </c>
      <c r="H14" s="9" t="s">
        <v>150</v>
      </c>
      <c r="I14" s="11">
        <v>134.72</v>
      </c>
      <c r="J14" s="12">
        <v>21.78</v>
      </c>
      <c r="K14" s="12">
        <v>5.94</v>
      </c>
      <c r="L14" s="9" t="s">
        <v>197</v>
      </c>
      <c r="M14" s="9" t="s">
        <v>152</v>
      </c>
      <c r="N14" s="9" t="s">
        <v>152</v>
      </c>
      <c r="O14" s="9" t="s">
        <v>188</v>
      </c>
      <c r="P14" s="9" t="s">
        <v>154</v>
      </c>
      <c r="Q14" s="9" t="s">
        <v>162</v>
      </c>
      <c r="R14" s="9" t="s">
        <v>175</v>
      </c>
      <c r="S14" s="9" t="s">
        <v>176</v>
      </c>
      <c r="T14" s="9">
        <v>0.5</v>
      </c>
      <c r="U14" s="13">
        <f>C14+1</f>
        <v>41069</v>
      </c>
    </row>
    <row r="15" spans="1:21" x14ac:dyDescent="0.25">
      <c r="A15" s="9">
        <v>135</v>
      </c>
      <c r="B15" s="9">
        <v>868</v>
      </c>
      <c r="C15" s="10">
        <f>DATE(2012,12,31)-206</f>
        <v>41068</v>
      </c>
      <c r="D15" s="9" t="s">
        <v>173</v>
      </c>
      <c r="E15" s="9">
        <v>31</v>
      </c>
      <c r="F15" s="9">
        <v>1474.33</v>
      </c>
      <c r="G15" s="9">
        <v>0.04</v>
      </c>
      <c r="H15" s="9" t="s">
        <v>150</v>
      </c>
      <c r="I15" s="11">
        <v>114.46</v>
      </c>
      <c r="J15" s="12">
        <v>47.98</v>
      </c>
      <c r="K15" s="12">
        <v>3.61</v>
      </c>
      <c r="L15" s="9" t="s">
        <v>197</v>
      </c>
      <c r="M15" s="9" t="s">
        <v>152</v>
      </c>
      <c r="N15" s="9" t="s">
        <v>152</v>
      </c>
      <c r="O15" s="9" t="s">
        <v>188</v>
      </c>
      <c r="P15" s="9" t="s">
        <v>170</v>
      </c>
      <c r="Q15" s="9" t="s">
        <v>198</v>
      </c>
      <c r="R15" s="9" t="s">
        <v>199</v>
      </c>
      <c r="S15" s="9" t="s">
        <v>180</v>
      </c>
      <c r="T15" s="9">
        <v>0.71</v>
      </c>
      <c r="U15" s="13">
        <f>C15+2</f>
        <v>41070</v>
      </c>
    </row>
    <row r="16" spans="1:21" x14ac:dyDescent="0.25">
      <c r="A16" s="9">
        <v>149</v>
      </c>
      <c r="B16" s="9">
        <v>933</v>
      </c>
      <c r="C16" s="10">
        <f>DATE(2012,12,31)-149</f>
        <v>41125</v>
      </c>
      <c r="D16" s="9" t="s">
        <v>173</v>
      </c>
      <c r="E16" s="9">
        <v>15</v>
      </c>
      <c r="F16" s="9">
        <v>80.61</v>
      </c>
      <c r="G16" s="9">
        <v>0.02</v>
      </c>
      <c r="H16" s="9" t="s">
        <v>150</v>
      </c>
      <c r="I16" s="11">
        <v>-4.7149999999999999</v>
      </c>
      <c r="J16" s="12">
        <v>5.28</v>
      </c>
      <c r="K16" s="12">
        <v>2.99</v>
      </c>
      <c r="L16" s="9" t="s">
        <v>200</v>
      </c>
      <c r="M16" s="9" t="s">
        <v>152</v>
      </c>
      <c r="N16" s="9" t="s">
        <v>152</v>
      </c>
      <c r="O16" s="9" t="s">
        <v>153</v>
      </c>
      <c r="P16" s="9" t="s">
        <v>154</v>
      </c>
      <c r="Q16" s="9" t="s">
        <v>165</v>
      </c>
      <c r="R16" s="9" t="s">
        <v>201</v>
      </c>
      <c r="S16" s="9" t="s">
        <v>167</v>
      </c>
      <c r="T16" s="9">
        <v>0.37</v>
      </c>
      <c r="U16" s="13">
        <f>C16+0</f>
        <v>41125</v>
      </c>
    </row>
    <row r="17" spans="1:21" x14ac:dyDescent="0.25">
      <c r="A17" s="9">
        <v>160</v>
      </c>
      <c r="B17" s="9">
        <v>995</v>
      </c>
      <c r="C17" s="10">
        <f>DATE(2012,12,31)-581</f>
        <v>40693</v>
      </c>
      <c r="D17" s="9" t="s">
        <v>191</v>
      </c>
      <c r="E17" s="9">
        <v>46</v>
      </c>
      <c r="F17" s="9">
        <v>1815.49</v>
      </c>
      <c r="G17" s="9">
        <v>0.03</v>
      </c>
      <c r="H17" s="9" t="s">
        <v>150</v>
      </c>
      <c r="I17" s="11">
        <v>782.91</v>
      </c>
      <c r="J17" s="12">
        <v>39.89</v>
      </c>
      <c r="K17" s="12">
        <v>3.04</v>
      </c>
      <c r="L17" s="9" t="s">
        <v>192</v>
      </c>
      <c r="M17" s="9" t="s">
        <v>152</v>
      </c>
      <c r="N17" s="9" t="s">
        <v>152</v>
      </c>
      <c r="O17" s="9" t="s">
        <v>188</v>
      </c>
      <c r="P17" s="9" t="s">
        <v>177</v>
      </c>
      <c r="Q17" s="9" t="s">
        <v>178</v>
      </c>
      <c r="R17" s="9" t="s">
        <v>202</v>
      </c>
      <c r="S17" s="9" t="s">
        <v>196</v>
      </c>
      <c r="T17" s="9">
        <v>0.53</v>
      </c>
      <c r="U17" s="13">
        <f>C17+1</f>
        <v>40694</v>
      </c>
    </row>
    <row r="18" spans="1:21" x14ac:dyDescent="0.25">
      <c r="A18" s="9">
        <v>161</v>
      </c>
      <c r="B18" s="9">
        <v>998</v>
      </c>
      <c r="C18" s="10">
        <f>DATE(2012,12,31)-1132</f>
        <v>40142</v>
      </c>
      <c r="D18" s="9" t="s">
        <v>173</v>
      </c>
      <c r="E18" s="9">
        <v>16</v>
      </c>
      <c r="F18" s="9">
        <v>248.26</v>
      </c>
      <c r="G18" s="9">
        <v>7.0000000000000007E-2</v>
      </c>
      <c r="H18" s="9" t="s">
        <v>150</v>
      </c>
      <c r="I18" s="11">
        <v>93.8</v>
      </c>
      <c r="J18" s="12">
        <v>15.74</v>
      </c>
      <c r="K18" s="12">
        <v>1.39</v>
      </c>
      <c r="L18" s="9" t="s">
        <v>203</v>
      </c>
      <c r="M18" s="9" t="s">
        <v>152</v>
      </c>
      <c r="N18" s="9" t="s">
        <v>152</v>
      </c>
      <c r="O18" s="9" t="s">
        <v>153</v>
      </c>
      <c r="P18" s="9" t="s">
        <v>154</v>
      </c>
      <c r="Q18" s="9" t="s">
        <v>204</v>
      </c>
      <c r="R18" s="9" t="s">
        <v>205</v>
      </c>
      <c r="S18" s="9" t="s">
        <v>167</v>
      </c>
      <c r="T18" s="9">
        <v>0.4</v>
      </c>
      <c r="U18" s="13">
        <f>C18+1</f>
        <v>40143</v>
      </c>
    </row>
    <row r="19" spans="1:21" x14ac:dyDescent="0.25">
      <c r="A19" s="9">
        <v>175</v>
      </c>
      <c r="B19" s="9">
        <v>1154</v>
      </c>
      <c r="C19" s="10">
        <f>DATE(2012,12,31)-321</f>
        <v>40953</v>
      </c>
      <c r="D19" s="9" t="s">
        <v>206</v>
      </c>
      <c r="E19" s="9">
        <v>44</v>
      </c>
      <c r="F19" s="9">
        <v>4462.2299999999996</v>
      </c>
      <c r="G19" s="9">
        <v>0.04</v>
      </c>
      <c r="H19" s="9" t="s">
        <v>159</v>
      </c>
      <c r="I19" s="11">
        <v>440.72</v>
      </c>
      <c r="J19" s="12">
        <v>100.98</v>
      </c>
      <c r="K19" s="12">
        <v>26.22</v>
      </c>
      <c r="L19" s="9" t="s">
        <v>207</v>
      </c>
      <c r="M19" s="9" t="s">
        <v>152</v>
      </c>
      <c r="N19" s="9" t="s">
        <v>152</v>
      </c>
      <c r="O19" s="9" t="s">
        <v>188</v>
      </c>
      <c r="P19" s="9" t="s">
        <v>177</v>
      </c>
      <c r="Q19" s="9" t="s">
        <v>208</v>
      </c>
      <c r="R19" s="9" t="s">
        <v>209</v>
      </c>
      <c r="S19" s="9" t="s">
        <v>210</v>
      </c>
      <c r="T19" s="9">
        <v>0.6</v>
      </c>
      <c r="U19" s="13">
        <f>C19+2</f>
        <v>40955</v>
      </c>
    </row>
    <row r="20" spans="1:21" x14ac:dyDescent="0.25">
      <c r="A20" s="9">
        <v>176</v>
      </c>
      <c r="B20" s="9">
        <v>1154</v>
      </c>
      <c r="C20" s="10">
        <f>DATE(2012,12,31)-321</f>
        <v>40953</v>
      </c>
      <c r="D20" s="9" t="s">
        <v>206</v>
      </c>
      <c r="E20" s="9">
        <v>11</v>
      </c>
      <c r="F20" s="9">
        <v>663.78400000000011</v>
      </c>
      <c r="G20" s="9">
        <v>0.25</v>
      </c>
      <c r="H20" s="9" t="s">
        <v>150</v>
      </c>
      <c r="I20" s="11">
        <v>-481.041</v>
      </c>
      <c r="J20" s="12">
        <v>71.37</v>
      </c>
      <c r="K20" s="12">
        <v>69</v>
      </c>
      <c r="L20" s="9" t="s">
        <v>207</v>
      </c>
      <c r="M20" s="9" t="s">
        <v>152</v>
      </c>
      <c r="N20" s="9" t="s">
        <v>152</v>
      </c>
      <c r="O20" s="9" t="s">
        <v>188</v>
      </c>
      <c r="P20" s="9" t="s">
        <v>177</v>
      </c>
      <c r="Q20" s="9" t="s">
        <v>211</v>
      </c>
      <c r="R20" s="9" t="s">
        <v>212</v>
      </c>
      <c r="S20" s="9" t="s">
        <v>157</v>
      </c>
      <c r="T20" s="9">
        <v>0.68</v>
      </c>
      <c r="U20" s="13">
        <f>C20+2</f>
        <v>40955</v>
      </c>
    </row>
    <row r="21" spans="1:21" x14ac:dyDescent="0.25">
      <c r="A21" s="9">
        <v>203</v>
      </c>
      <c r="B21" s="9">
        <v>1344</v>
      </c>
      <c r="C21" s="10">
        <f>DATE(2012,12,31)-260</f>
        <v>41014</v>
      </c>
      <c r="D21" s="9" t="s">
        <v>149</v>
      </c>
      <c r="E21" s="9">
        <v>15</v>
      </c>
      <c r="F21" s="9">
        <v>834.904</v>
      </c>
      <c r="G21" s="9">
        <v>0.06</v>
      </c>
      <c r="H21" s="9" t="s">
        <v>150</v>
      </c>
      <c r="I21" s="11">
        <v>-11.681999999999999</v>
      </c>
      <c r="J21" s="12">
        <v>65.989999999999995</v>
      </c>
      <c r="K21" s="12">
        <v>5.26</v>
      </c>
      <c r="L21" s="9" t="s">
        <v>213</v>
      </c>
      <c r="M21" s="9" t="s">
        <v>152</v>
      </c>
      <c r="N21" s="9" t="s">
        <v>152</v>
      </c>
      <c r="O21" s="9" t="s">
        <v>169</v>
      </c>
      <c r="P21" s="9" t="s">
        <v>170</v>
      </c>
      <c r="Q21" s="9" t="s">
        <v>171</v>
      </c>
      <c r="R21" s="9" t="s">
        <v>214</v>
      </c>
      <c r="S21" s="9" t="s">
        <v>167</v>
      </c>
      <c r="T21" s="9">
        <v>0.59</v>
      </c>
      <c r="U21" s="13">
        <f>C21+7</f>
        <v>41021</v>
      </c>
    </row>
    <row r="22" spans="1:21" x14ac:dyDescent="0.25">
      <c r="A22" s="9">
        <v>204</v>
      </c>
      <c r="B22" s="9">
        <v>1344</v>
      </c>
      <c r="C22" s="10">
        <f>DATE(2012,12,31)-260</f>
        <v>41014</v>
      </c>
      <c r="D22" s="9" t="s">
        <v>149</v>
      </c>
      <c r="E22" s="9">
        <v>18</v>
      </c>
      <c r="F22" s="9">
        <v>2480.9205000000002</v>
      </c>
      <c r="G22" s="9">
        <v>0.01</v>
      </c>
      <c r="H22" s="9" t="s">
        <v>150</v>
      </c>
      <c r="I22" s="11">
        <v>313.57800000000003</v>
      </c>
      <c r="J22" s="12">
        <v>155.99</v>
      </c>
      <c r="K22" s="12">
        <v>8.99</v>
      </c>
      <c r="L22" s="9" t="s">
        <v>213</v>
      </c>
      <c r="M22" s="9" t="s">
        <v>152</v>
      </c>
      <c r="N22" s="9" t="s">
        <v>152</v>
      </c>
      <c r="O22" s="9" t="s">
        <v>169</v>
      </c>
      <c r="P22" s="9" t="s">
        <v>170</v>
      </c>
      <c r="Q22" s="9" t="s">
        <v>171</v>
      </c>
      <c r="R22" s="9" t="s">
        <v>215</v>
      </c>
      <c r="S22" s="9" t="s">
        <v>167</v>
      </c>
      <c r="T22" s="9">
        <v>0.57999999999999996</v>
      </c>
      <c r="U22" s="13">
        <f>C22+4</f>
        <v>41018</v>
      </c>
    </row>
    <row r="23" spans="1:21" x14ac:dyDescent="0.25">
      <c r="A23" s="9">
        <v>213</v>
      </c>
      <c r="B23" s="9">
        <v>1412</v>
      </c>
      <c r="C23" s="10">
        <f>DATE(2012,12,31)-1025</f>
        <v>40249</v>
      </c>
      <c r="D23" s="9" t="s">
        <v>173</v>
      </c>
      <c r="E23" s="9">
        <v>13</v>
      </c>
      <c r="F23" s="9">
        <v>59.03</v>
      </c>
      <c r="G23" s="9">
        <v>0.1</v>
      </c>
      <c r="H23" s="9" t="s">
        <v>184</v>
      </c>
      <c r="I23" s="11">
        <v>26.92</v>
      </c>
      <c r="J23" s="12">
        <v>3.69</v>
      </c>
      <c r="K23" s="12">
        <v>0.5</v>
      </c>
      <c r="L23" s="9" t="s">
        <v>174</v>
      </c>
      <c r="M23" s="9" t="s">
        <v>152</v>
      </c>
      <c r="N23" s="9" t="s">
        <v>152</v>
      </c>
      <c r="O23" s="9" t="s">
        <v>161</v>
      </c>
      <c r="P23" s="9" t="s">
        <v>154</v>
      </c>
      <c r="Q23" s="9" t="s">
        <v>216</v>
      </c>
      <c r="R23" s="9" t="s">
        <v>217</v>
      </c>
      <c r="S23" s="9" t="s">
        <v>167</v>
      </c>
      <c r="T23" s="9">
        <v>0.38</v>
      </c>
      <c r="U23" s="13">
        <f>C23+2</f>
        <v>40251</v>
      </c>
    </row>
    <row r="24" spans="1:21" x14ac:dyDescent="0.25">
      <c r="A24" s="9">
        <v>214</v>
      </c>
      <c r="B24" s="9">
        <v>1412</v>
      </c>
      <c r="C24" s="10">
        <f>DATE(2012,12,31)-1025</f>
        <v>40249</v>
      </c>
      <c r="D24" s="9" t="s">
        <v>173</v>
      </c>
      <c r="E24" s="9">
        <v>21</v>
      </c>
      <c r="F24" s="9">
        <v>97.48</v>
      </c>
      <c r="G24" s="9">
        <v>0.05</v>
      </c>
      <c r="H24" s="9" t="s">
        <v>150</v>
      </c>
      <c r="I24" s="11">
        <v>-5.77</v>
      </c>
      <c r="J24" s="12">
        <v>4.71</v>
      </c>
      <c r="K24" s="12">
        <v>0.7</v>
      </c>
      <c r="L24" s="9" t="s">
        <v>174</v>
      </c>
      <c r="M24" s="9" t="s">
        <v>152</v>
      </c>
      <c r="N24" s="9" t="s">
        <v>152</v>
      </c>
      <c r="O24" s="9" t="s">
        <v>161</v>
      </c>
      <c r="P24" s="9" t="s">
        <v>154</v>
      </c>
      <c r="Q24" s="9" t="s">
        <v>194</v>
      </c>
      <c r="R24" s="9" t="s">
        <v>218</v>
      </c>
      <c r="S24" s="9" t="s">
        <v>196</v>
      </c>
      <c r="T24" s="9">
        <v>0.8</v>
      </c>
      <c r="U24" s="13">
        <f>C24+2</f>
        <v>40251</v>
      </c>
    </row>
    <row r="25" spans="1:21" x14ac:dyDescent="0.25">
      <c r="A25" s="9">
        <v>229</v>
      </c>
      <c r="B25" s="9">
        <v>1539</v>
      </c>
      <c r="C25" s="10">
        <f>DATE(2012,12,31)-663</f>
        <v>40611</v>
      </c>
      <c r="D25" s="9" t="s">
        <v>149</v>
      </c>
      <c r="E25" s="9">
        <v>33</v>
      </c>
      <c r="F25" s="9">
        <v>511.83</v>
      </c>
      <c r="G25" s="9">
        <v>0.1</v>
      </c>
      <c r="H25" s="9" t="s">
        <v>150</v>
      </c>
      <c r="I25" s="11">
        <v>-172.87950000000001</v>
      </c>
      <c r="J25" s="12">
        <v>15.99</v>
      </c>
      <c r="K25" s="12">
        <v>13.18</v>
      </c>
      <c r="L25" s="9" t="s">
        <v>219</v>
      </c>
      <c r="M25" s="9" t="s">
        <v>152</v>
      </c>
      <c r="N25" s="9" t="s">
        <v>152</v>
      </c>
      <c r="O25" s="9" t="s">
        <v>169</v>
      </c>
      <c r="P25" s="9" t="s">
        <v>154</v>
      </c>
      <c r="Q25" s="9" t="s">
        <v>165</v>
      </c>
      <c r="R25" s="9" t="s">
        <v>220</v>
      </c>
      <c r="S25" s="9" t="s">
        <v>167</v>
      </c>
      <c r="T25" s="9">
        <v>0.37</v>
      </c>
      <c r="U25" s="13">
        <f>C25+2</f>
        <v>40613</v>
      </c>
    </row>
    <row r="26" spans="1:21" x14ac:dyDescent="0.25">
      <c r="A26" s="9">
        <v>230</v>
      </c>
      <c r="B26" s="9">
        <v>1539</v>
      </c>
      <c r="C26" s="10">
        <f>DATE(2012,12,31)-663</f>
        <v>40611</v>
      </c>
      <c r="D26" s="9" t="s">
        <v>149</v>
      </c>
      <c r="E26" s="9">
        <v>38</v>
      </c>
      <c r="F26" s="9">
        <v>184.99</v>
      </c>
      <c r="G26" s="9">
        <v>0.05</v>
      </c>
      <c r="H26" s="9" t="s">
        <v>150</v>
      </c>
      <c r="I26" s="11">
        <v>-144.55000000000001</v>
      </c>
      <c r="J26" s="12">
        <v>4.8899999999999997</v>
      </c>
      <c r="K26" s="12">
        <v>4.93</v>
      </c>
      <c r="L26" s="9" t="s">
        <v>219</v>
      </c>
      <c r="M26" s="9" t="s">
        <v>152</v>
      </c>
      <c r="N26" s="9" t="s">
        <v>152</v>
      </c>
      <c r="O26" s="9" t="s">
        <v>169</v>
      </c>
      <c r="P26" s="9" t="s">
        <v>170</v>
      </c>
      <c r="Q26" s="9" t="s">
        <v>198</v>
      </c>
      <c r="R26" s="9" t="s">
        <v>221</v>
      </c>
      <c r="S26" s="9" t="s">
        <v>180</v>
      </c>
      <c r="T26" s="9">
        <v>0.66</v>
      </c>
      <c r="U26" s="13">
        <f>C26+5</f>
        <v>40616</v>
      </c>
    </row>
    <row r="27" spans="1:21" x14ac:dyDescent="0.25">
      <c r="A27" s="9">
        <v>231</v>
      </c>
      <c r="B27" s="9">
        <v>1540</v>
      </c>
      <c r="C27" s="10">
        <f>DATE(2012,12,31)-149</f>
        <v>41125</v>
      </c>
      <c r="D27" s="9" t="s">
        <v>158</v>
      </c>
      <c r="E27" s="9">
        <v>30</v>
      </c>
      <c r="F27" s="9">
        <v>80.900000000000006</v>
      </c>
      <c r="G27" s="9">
        <v>0.09</v>
      </c>
      <c r="H27" s="9" t="s">
        <v>150</v>
      </c>
      <c r="I27" s="11">
        <v>5.76</v>
      </c>
      <c r="J27" s="12">
        <v>2.88</v>
      </c>
      <c r="K27" s="12">
        <v>0.7</v>
      </c>
      <c r="L27" s="9" t="s">
        <v>222</v>
      </c>
      <c r="M27" s="9" t="s">
        <v>152</v>
      </c>
      <c r="N27" s="9" t="s">
        <v>152</v>
      </c>
      <c r="O27" s="9" t="s">
        <v>188</v>
      </c>
      <c r="P27" s="9" t="s">
        <v>154</v>
      </c>
      <c r="Q27" s="9" t="s">
        <v>223</v>
      </c>
      <c r="R27" s="9" t="s">
        <v>224</v>
      </c>
      <c r="S27" s="9" t="s">
        <v>196</v>
      </c>
      <c r="T27" s="9">
        <v>0.56000000000000005</v>
      </c>
      <c r="U27" s="13">
        <f>C27+2</f>
        <v>41127</v>
      </c>
    </row>
    <row r="28" spans="1:21" x14ac:dyDescent="0.25">
      <c r="A28" s="9">
        <v>249</v>
      </c>
      <c r="B28" s="9">
        <v>1702</v>
      </c>
      <c r="C28" s="10">
        <f>DATE(2012,12,31)-605</f>
        <v>40669</v>
      </c>
      <c r="D28" s="9" t="s">
        <v>158</v>
      </c>
      <c r="E28" s="9">
        <v>23</v>
      </c>
      <c r="F28" s="9">
        <v>67.239999999999995</v>
      </c>
      <c r="G28" s="9">
        <v>0.06</v>
      </c>
      <c r="H28" s="9" t="s">
        <v>150</v>
      </c>
      <c r="I28" s="11">
        <v>4.9000000000000004</v>
      </c>
      <c r="J28" s="12">
        <v>2.84</v>
      </c>
      <c r="K28" s="12">
        <v>0.93</v>
      </c>
      <c r="L28" s="9" t="s">
        <v>225</v>
      </c>
      <c r="M28" s="9" t="s">
        <v>152</v>
      </c>
      <c r="N28" s="9" t="s">
        <v>152</v>
      </c>
      <c r="O28" s="9" t="s">
        <v>188</v>
      </c>
      <c r="P28" s="9" t="s">
        <v>154</v>
      </c>
      <c r="Q28" s="9" t="s">
        <v>223</v>
      </c>
      <c r="R28" s="9" t="s">
        <v>226</v>
      </c>
      <c r="S28" s="9" t="s">
        <v>196</v>
      </c>
      <c r="T28" s="9">
        <v>0.54</v>
      </c>
      <c r="U28" s="13">
        <f>C28+1</f>
        <v>40670</v>
      </c>
    </row>
    <row r="29" spans="1:21" x14ac:dyDescent="0.25">
      <c r="A29" s="9">
        <v>250</v>
      </c>
      <c r="B29" s="9">
        <v>1761</v>
      </c>
      <c r="C29" s="10">
        <f>DATE(2012,12,31)-739</f>
        <v>40535</v>
      </c>
      <c r="D29" s="9" t="s">
        <v>158</v>
      </c>
      <c r="E29" s="9">
        <v>25</v>
      </c>
      <c r="F29" s="9">
        <v>12028.23</v>
      </c>
      <c r="G29" s="9">
        <v>0.01</v>
      </c>
      <c r="H29" s="9" t="s">
        <v>159</v>
      </c>
      <c r="I29" s="11">
        <v>-547.61</v>
      </c>
      <c r="J29" s="12">
        <v>449.99</v>
      </c>
      <c r="K29" s="12">
        <v>49</v>
      </c>
      <c r="L29" s="9" t="s">
        <v>219</v>
      </c>
      <c r="M29" s="9" t="s">
        <v>152</v>
      </c>
      <c r="N29" s="9" t="s">
        <v>152</v>
      </c>
      <c r="O29" s="9" t="s">
        <v>169</v>
      </c>
      <c r="P29" s="9" t="s">
        <v>170</v>
      </c>
      <c r="Q29" s="9" t="s">
        <v>227</v>
      </c>
      <c r="R29" s="9" t="s">
        <v>228</v>
      </c>
      <c r="S29" s="9" t="s">
        <v>164</v>
      </c>
      <c r="T29" s="9">
        <v>0.38</v>
      </c>
      <c r="U29" s="13">
        <f>C29+2</f>
        <v>40537</v>
      </c>
    </row>
    <row r="30" spans="1:21" x14ac:dyDescent="0.25">
      <c r="A30" s="9">
        <v>256</v>
      </c>
      <c r="B30" s="9">
        <v>1792</v>
      </c>
      <c r="C30" s="10">
        <f>DATE(2012,12,31)-784</f>
        <v>40490</v>
      </c>
      <c r="D30" s="9" t="s">
        <v>149</v>
      </c>
      <c r="E30" s="9">
        <v>28</v>
      </c>
      <c r="F30" s="9">
        <v>370.48</v>
      </c>
      <c r="G30" s="9">
        <v>0.04</v>
      </c>
      <c r="H30" s="9" t="s">
        <v>150</v>
      </c>
      <c r="I30" s="11">
        <v>-5.45</v>
      </c>
      <c r="J30" s="12">
        <v>13.48</v>
      </c>
      <c r="K30" s="12">
        <v>4.51</v>
      </c>
      <c r="L30" s="9" t="s">
        <v>174</v>
      </c>
      <c r="M30" s="9" t="s">
        <v>152</v>
      </c>
      <c r="N30" s="9" t="s">
        <v>152</v>
      </c>
      <c r="O30" s="9" t="s">
        <v>161</v>
      </c>
      <c r="P30" s="9" t="s">
        <v>154</v>
      </c>
      <c r="Q30" s="9" t="s">
        <v>155</v>
      </c>
      <c r="R30" s="9" t="s">
        <v>229</v>
      </c>
      <c r="S30" s="9" t="s">
        <v>167</v>
      </c>
      <c r="T30" s="9">
        <v>0.59</v>
      </c>
      <c r="U30" s="13">
        <f>C30+5</f>
        <v>40495</v>
      </c>
    </row>
    <row r="31" spans="1:21" x14ac:dyDescent="0.25">
      <c r="A31" s="9">
        <v>330</v>
      </c>
      <c r="B31" s="9">
        <v>2275</v>
      </c>
      <c r="C31" s="10">
        <f>DATE(2012,12,31)-71</f>
        <v>41203</v>
      </c>
      <c r="D31" s="9" t="s">
        <v>173</v>
      </c>
      <c r="E31" s="9">
        <v>49</v>
      </c>
      <c r="F31" s="9">
        <v>278</v>
      </c>
      <c r="G31" s="9">
        <v>0.08</v>
      </c>
      <c r="H31" s="9" t="s">
        <v>150</v>
      </c>
      <c r="I31" s="11">
        <v>41.67</v>
      </c>
      <c r="J31" s="12">
        <v>6.08</v>
      </c>
      <c r="K31" s="12">
        <v>1.17</v>
      </c>
      <c r="L31" s="9" t="s">
        <v>230</v>
      </c>
      <c r="M31" s="9" t="s">
        <v>152</v>
      </c>
      <c r="N31" s="9" t="s">
        <v>152</v>
      </c>
      <c r="O31" s="9" t="s">
        <v>153</v>
      </c>
      <c r="P31" s="9" t="s">
        <v>154</v>
      </c>
      <c r="Q31" s="9" t="s">
        <v>223</v>
      </c>
      <c r="R31" s="9" t="s">
        <v>231</v>
      </c>
      <c r="S31" s="9" t="s">
        <v>196</v>
      </c>
      <c r="T31" s="9">
        <v>0.56000000000000005</v>
      </c>
      <c r="U31" s="13">
        <f>C31+1</f>
        <v>41204</v>
      </c>
    </row>
    <row r="32" spans="1:21" x14ac:dyDescent="0.25">
      <c r="A32" s="9">
        <v>331</v>
      </c>
      <c r="B32" s="9">
        <v>2277</v>
      </c>
      <c r="C32" s="10">
        <f>DATE(2012,12,31)-730</f>
        <v>40544</v>
      </c>
      <c r="D32" s="9" t="s">
        <v>173</v>
      </c>
      <c r="E32" s="9">
        <v>10</v>
      </c>
      <c r="F32" s="9">
        <v>66.540000000000006</v>
      </c>
      <c r="G32" s="9">
        <v>0.01</v>
      </c>
      <c r="H32" s="9" t="s">
        <v>150</v>
      </c>
      <c r="I32" s="11">
        <v>-46.03</v>
      </c>
      <c r="J32" s="12">
        <v>5.98</v>
      </c>
      <c r="K32" s="12">
        <v>4.38</v>
      </c>
      <c r="L32" s="9" t="s">
        <v>222</v>
      </c>
      <c r="M32" s="9" t="s">
        <v>152</v>
      </c>
      <c r="N32" s="9" t="s">
        <v>152</v>
      </c>
      <c r="O32" s="9" t="s">
        <v>188</v>
      </c>
      <c r="P32" s="9" t="s">
        <v>170</v>
      </c>
      <c r="Q32" s="9" t="s">
        <v>198</v>
      </c>
      <c r="R32" s="9" t="s">
        <v>232</v>
      </c>
      <c r="S32" s="9" t="s">
        <v>180</v>
      </c>
      <c r="T32" s="9">
        <v>0.75</v>
      </c>
      <c r="U32" s="13">
        <f>C32+1</f>
        <v>40545</v>
      </c>
    </row>
    <row r="33" spans="1:21" x14ac:dyDescent="0.25">
      <c r="A33" s="9">
        <v>332</v>
      </c>
      <c r="B33" s="9">
        <v>2277</v>
      </c>
      <c r="C33" s="10">
        <f>DATE(2012,12,31)-730</f>
        <v>40544</v>
      </c>
      <c r="D33" s="9" t="s">
        <v>173</v>
      </c>
      <c r="E33" s="9">
        <v>21</v>
      </c>
      <c r="F33" s="9">
        <v>845.32</v>
      </c>
      <c r="G33" s="9">
        <v>0.06</v>
      </c>
      <c r="H33" s="9" t="s">
        <v>150</v>
      </c>
      <c r="I33" s="11">
        <v>33.67</v>
      </c>
      <c r="J33" s="12">
        <v>40.99</v>
      </c>
      <c r="K33" s="12">
        <v>19.989999999999998</v>
      </c>
      <c r="L33" s="9" t="s">
        <v>222</v>
      </c>
      <c r="M33" s="9" t="s">
        <v>152</v>
      </c>
      <c r="N33" s="9" t="s">
        <v>152</v>
      </c>
      <c r="O33" s="9" t="s">
        <v>188</v>
      </c>
      <c r="P33" s="9" t="s">
        <v>154</v>
      </c>
      <c r="Q33" s="9" t="s">
        <v>189</v>
      </c>
      <c r="R33" s="9" t="s">
        <v>233</v>
      </c>
      <c r="S33" s="9" t="s">
        <v>167</v>
      </c>
      <c r="T33" s="9">
        <v>0.36</v>
      </c>
      <c r="U33" s="13">
        <f>C33+2</f>
        <v>40546</v>
      </c>
    </row>
    <row r="34" spans="1:21" x14ac:dyDescent="0.25">
      <c r="A34" s="9">
        <v>362</v>
      </c>
      <c r="B34" s="9">
        <v>2532</v>
      </c>
      <c r="C34" s="10">
        <f>DATE(2012,12,31)-448</f>
        <v>40826</v>
      </c>
      <c r="D34" s="9" t="s">
        <v>158</v>
      </c>
      <c r="E34" s="9">
        <v>39</v>
      </c>
      <c r="F34" s="9">
        <v>282.07</v>
      </c>
      <c r="G34" s="9">
        <v>0.03</v>
      </c>
      <c r="H34" s="9" t="s">
        <v>150</v>
      </c>
      <c r="I34" s="11">
        <v>140.01</v>
      </c>
      <c r="J34" s="12">
        <v>7.31</v>
      </c>
      <c r="K34" s="12">
        <v>0.49</v>
      </c>
      <c r="L34" s="9" t="s">
        <v>234</v>
      </c>
      <c r="M34" s="9" t="s">
        <v>152</v>
      </c>
      <c r="N34" s="9" t="s">
        <v>152</v>
      </c>
      <c r="O34" s="9" t="s">
        <v>169</v>
      </c>
      <c r="P34" s="9" t="s">
        <v>154</v>
      </c>
      <c r="Q34" s="9" t="s">
        <v>216</v>
      </c>
      <c r="R34" s="9" t="s">
        <v>235</v>
      </c>
      <c r="S34" s="9" t="s">
        <v>167</v>
      </c>
      <c r="T34" s="9">
        <v>0.38</v>
      </c>
      <c r="U34" s="13">
        <f>C34+1</f>
        <v>40827</v>
      </c>
    </row>
    <row r="35" spans="1:21" x14ac:dyDescent="0.25">
      <c r="A35" s="9">
        <v>363</v>
      </c>
      <c r="B35" s="9">
        <v>2532</v>
      </c>
      <c r="C35" s="10">
        <f>DATE(2012,12,31)-448</f>
        <v>40826</v>
      </c>
      <c r="D35" s="9" t="s">
        <v>158</v>
      </c>
      <c r="E35" s="9">
        <v>24</v>
      </c>
      <c r="F35" s="9">
        <v>426.03700000000003</v>
      </c>
      <c r="G35" s="9">
        <v>0.01</v>
      </c>
      <c r="H35" s="9" t="s">
        <v>150</v>
      </c>
      <c r="I35" s="11">
        <v>-78.957999999999998</v>
      </c>
      <c r="J35" s="12">
        <v>20.99</v>
      </c>
      <c r="K35" s="12">
        <v>2.5</v>
      </c>
      <c r="L35" s="9" t="s">
        <v>234</v>
      </c>
      <c r="M35" s="9" t="s">
        <v>152</v>
      </c>
      <c r="N35" s="9" t="s">
        <v>152</v>
      </c>
      <c r="O35" s="9" t="s">
        <v>169</v>
      </c>
      <c r="P35" s="9" t="s">
        <v>170</v>
      </c>
      <c r="Q35" s="9" t="s">
        <v>171</v>
      </c>
      <c r="R35" s="9" t="s">
        <v>236</v>
      </c>
      <c r="S35" s="9" t="s">
        <v>196</v>
      </c>
      <c r="T35" s="9">
        <v>0.81</v>
      </c>
      <c r="U35" s="13">
        <f>C35+1</f>
        <v>40827</v>
      </c>
    </row>
    <row r="36" spans="1:21" x14ac:dyDescent="0.25">
      <c r="A36" s="9">
        <v>381</v>
      </c>
      <c r="B36" s="9">
        <v>2631</v>
      </c>
      <c r="C36" s="10">
        <f>DATE(2012,12,31)-830</f>
        <v>40444</v>
      </c>
      <c r="D36" s="9" t="s">
        <v>149</v>
      </c>
      <c r="E36" s="9">
        <v>27</v>
      </c>
      <c r="F36" s="9">
        <v>1078.49</v>
      </c>
      <c r="G36" s="9">
        <v>0.08</v>
      </c>
      <c r="H36" s="9" t="s">
        <v>150</v>
      </c>
      <c r="I36" s="11">
        <v>252.66</v>
      </c>
      <c r="J36" s="12">
        <v>40.96</v>
      </c>
      <c r="K36" s="12">
        <v>1.99</v>
      </c>
      <c r="L36" s="9" t="s">
        <v>237</v>
      </c>
      <c r="M36" s="9" t="s">
        <v>152</v>
      </c>
      <c r="N36" s="9" t="s">
        <v>152</v>
      </c>
      <c r="O36" s="9" t="s">
        <v>169</v>
      </c>
      <c r="P36" s="9" t="s">
        <v>170</v>
      </c>
      <c r="Q36" s="9" t="s">
        <v>198</v>
      </c>
      <c r="R36" s="9" t="s">
        <v>238</v>
      </c>
      <c r="S36" s="9" t="s">
        <v>180</v>
      </c>
      <c r="T36" s="9">
        <v>0.55000000000000004</v>
      </c>
      <c r="U36" s="13">
        <f>C36+2</f>
        <v>40446</v>
      </c>
    </row>
    <row r="37" spans="1:21" x14ac:dyDescent="0.25">
      <c r="A37" s="9">
        <v>23</v>
      </c>
      <c r="B37" s="9">
        <v>678</v>
      </c>
      <c r="C37" s="10">
        <v>40235</v>
      </c>
      <c r="D37" s="9" t="s">
        <v>149</v>
      </c>
      <c r="E37" s="9">
        <v>44</v>
      </c>
      <c r="F37" s="9">
        <v>228.41</v>
      </c>
      <c r="G37" s="9">
        <v>7.0000000000000007E-2</v>
      </c>
      <c r="H37" s="9" t="s">
        <v>150</v>
      </c>
      <c r="I37" s="11">
        <v>-226.36</v>
      </c>
      <c r="J37" s="12">
        <v>4.9800000000000004</v>
      </c>
      <c r="K37" s="12">
        <v>8.33</v>
      </c>
      <c r="L37" s="9" t="s">
        <v>187</v>
      </c>
      <c r="M37" s="9" t="s">
        <v>152</v>
      </c>
      <c r="N37" s="9" t="s">
        <v>152</v>
      </c>
      <c r="O37" s="9" t="s">
        <v>188</v>
      </c>
      <c r="P37" s="9" t="s">
        <v>243</v>
      </c>
      <c r="Q37" s="9" t="s">
        <v>189</v>
      </c>
      <c r="R37" s="9" t="s">
        <v>190</v>
      </c>
      <c r="S37" s="9" t="s">
        <v>167</v>
      </c>
      <c r="T37" s="9">
        <v>0.38</v>
      </c>
      <c r="U37" s="13">
        <v>40235</v>
      </c>
    </row>
    <row r="38" spans="1:21" x14ac:dyDescent="0.25">
      <c r="A38" s="9">
        <v>28</v>
      </c>
      <c r="B38" s="9">
        <v>807</v>
      </c>
      <c r="C38" s="10">
        <v>40505</v>
      </c>
      <c r="D38" s="9" t="s">
        <v>191</v>
      </c>
      <c r="E38" s="9">
        <v>45</v>
      </c>
      <c r="F38" s="9">
        <v>196.85</v>
      </c>
      <c r="G38" s="9">
        <v>0.01</v>
      </c>
      <c r="H38" s="9" t="s">
        <v>150</v>
      </c>
      <c r="I38" s="11">
        <v>-166.85</v>
      </c>
      <c r="J38" s="12">
        <v>4.28</v>
      </c>
      <c r="K38" s="12">
        <v>6.18</v>
      </c>
      <c r="L38" s="9" t="s">
        <v>192</v>
      </c>
      <c r="M38" s="9" t="s">
        <v>152</v>
      </c>
      <c r="N38" s="9" t="s">
        <v>152</v>
      </c>
      <c r="O38" s="9" t="s">
        <v>188</v>
      </c>
      <c r="P38" s="9" t="s">
        <v>243</v>
      </c>
      <c r="Q38" s="9" t="s">
        <v>189</v>
      </c>
      <c r="R38" s="9" t="s">
        <v>193</v>
      </c>
      <c r="S38" s="9" t="s">
        <v>167</v>
      </c>
      <c r="T38" s="9">
        <v>0.4</v>
      </c>
      <c r="U38" s="13">
        <v>40506</v>
      </c>
    </row>
    <row r="39" spans="1:21" x14ac:dyDescent="0.25">
      <c r="A39" s="9">
        <v>30</v>
      </c>
      <c r="B39" s="9">
        <v>807</v>
      </c>
      <c r="C39" s="10">
        <v>40505</v>
      </c>
      <c r="D39" s="9" t="s">
        <v>191</v>
      </c>
      <c r="E39" s="9">
        <v>32</v>
      </c>
      <c r="F39" s="9">
        <v>124.56</v>
      </c>
      <c r="G39" s="9">
        <v>0.04</v>
      </c>
      <c r="H39" s="9" t="s">
        <v>150</v>
      </c>
      <c r="I39" s="11">
        <v>-14.33</v>
      </c>
      <c r="J39" s="12">
        <v>3.95</v>
      </c>
      <c r="K39" s="12">
        <v>2</v>
      </c>
      <c r="L39" s="9" t="s">
        <v>192</v>
      </c>
      <c r="M39" s="9" t="s">
        <v>152</v>
      </c>
      <c r="N39" s="9" t="s">
        <v>152</v>
      </c>
      <c r="O39" s="9" t="s">
        <v>188</v>
      </c>
      <c r="P39" s="9" t="s">
        <v>243</v>
      </c>
      <c r="Q39" s="9" t="s">
        <v>194</v>
      </c>
      <c r="R39" s="9" t="s">
        <v>195</v>
      </c>
      <c r="S39" s="9" t="s">
        <v>196</v>
      </c>
      <c r="T39" s="9">
        <v>0.53</v>
      </c>
      <c r="U39" s="13">
        <v>40506</v>
      </c>
    </row>
    <row r="40" spans="1:21" x14ac:dyDescent="0.25">
      <c r="A40" s="9">
        <v>42</v>
      </c>
      <c r="B40" s="9">
        <v>868</v>
      </c>
      <c r="C40" s="10">
        <v>41068</v>
      </c>
      <c r="D40" s="9" t="s">
        <v>173</v>
      </c>
      <c r="E40" s="9">
        <v>32</v>
      </c>
      <c r="F40" s="9">
        <v>716.84</v>
      </c>
      <c r="G40" s="9">
        <v>0</v>
      </c>
      <c r="H40" s="9" t="s">
        <v>150</v>
      </c>
      <c r="I40" s="11">
        <v>134.72</v>
      </c>
      <c r="J40" s="12">
        <v>21.78</v>
      </c>
      <c r="K40" s="12">
        <v>5.94</v>
      </c>
      <c r="L40" s="9" t="s">
        <v>197</v>
      </c>
      <c r="M40" s="9" t="s">
        <v>152</v>
      </c>
      <c r="N40" s="9" t="s">
        <v>152</v>
      </c>
      <c r="O40" s="9" t="s">
        <v>188</v>
      </c>
      <c r="P40" s="9" t="s">
        <v>243</v>
      </c>
      <c r="Q40" s="9" t="s">
        <v>162</v>
      </c>
      <c r="R40" s="9" t="s">
        <v>175</v>
      </c>
      <c r="S40" s="9" t="s">
        <v>176</v>
      </c>
      <c r="T40" s="9">
        <v>0.5</v>
      </c>
      <c r="U40" s="13">
        <v>41069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Sheet7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odigie</dc:creator>
  <cp:lastModifiedBy>Jeremy odigie</cp:lastModifiedBy>
  <dcterms:created xsi:type="dcterms:W3CDTF">2025-05-13T13:57:38Z</dcterms:created>
  <dcterms:modified xsi:type="dcterms:W3CDTF">2025-05-13T18:36:08Z</dcterms:modified>
</cp:coreProperties>
</file>